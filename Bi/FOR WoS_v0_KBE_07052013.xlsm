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3206" codeName="{8C4F1C90-05EB-6A55-5F09-09C24B55AC0B}"/>
  <workbookPr codeName="ThisWorkbook" autoCompressPictures="0"/>
  <bookViews>
    <workbookView xWindow="0" yWindow="0" windowWidth="25600" windowHeight="15480" activeTab="5"/>
  </bookViews>
  <sheets>
    <sheet name="FROM_CVs" sheetId="7" r:id="rId1"/>
    <sheet name="FROM_STATA" sheetId="9" r:id="rId2"/>
    <sheet name="INST_DATA" sheetId="8" r:id="rId3"/>
    <sheet name="EGO_INST" sheetId="10" r:id="rId4"/>
    <sheet name="INST_QUERY" sheetId="11" r:id="rId5"/>
    <sheet name="NAME_QUERY" sheetId="12" r:id="rId6"/>
    <sheet name="TOTAL_Q" sheetId="13" r:id="rId7"/>
  </sheets>
  <definedNames>
    <definedName name="_100_cv">#REF!</definedName>
    <definedName name="_xlnm._FilterDatabase" localSheetId="3" hidden="1">EGO_INST!$A$1:$C$611</definedName>
    <definedName name="_xlnm._FilterDatabase" localSheetId="0" hidden="1">FROM_CVs!$A$48:$F$48</definedName>
    <definedName name="_xlnm._FilterDatabase" localSheetId="4" hidden="1">INST_QUERY!$A$1:$L$423</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H90" i="12" l="1"/>
  <c r="I90" i="12"/>
  <c r="J90" i="12"/>
  <c r="L90" i="12"/>
  <c r="O90" i="12"/>
  <c r="H101" i="12"/>
  <c r="I101" i="12"/>
  <c r="L101" i="12"/>
  <c r="O101" i="12"/>
  <c r="H82" i="12"/>
  <c r="I82" i="12"/>
  <c r="L82" i="12"/>
  <c r="O82" i="12"/>
  <c r="H70" i="12"/>
  <c r="I70" i="12"/>
  <c r="L70" i="12"/>
  <c r="O70" i="12"/>
  <c r="H78" i="12"/>
  <c r="I78" i="12"/>
  <c r="J78" i="12"/>
  <c r="K78" i="12"/>
  <c r="L78" i="12"/>
  <c r="O78" i="12"/>
  <c r="H81" i="12"/>
  <c r="I81" i="12"/>
  <c r="L81" i="12"/>
  <c r="O81" i="12"/>
  <c r="H39" i="12"/>
  <c r="I39" i="12"/>
  <c r="L39" i="12"/>
  <c r="O39" i="12"/>
  <c r="H46" i="12"/>
  <c r="I46" i="12"/>
  <c r="L46" i="12"/>
  <c r="O46" i="12"/>
  <c r="H72" i="12"/>
  <c r="I72" i="12"/>
  <c r="L72" i="12"/>
  <c r="O72" i="12"/>
  <c r="H38" i="12"/>
  <c r="I38" i="12"/>
  <c r="L38" i="12"/>
  <c r="O38" i="12"/>
  <c r="H43" i="12"/>
  <c r="I43" i="12"/>
  <c r="L43" i="12"/>
  <c r="O43" i="12"/>
  <c r="H34" i="12"/>
  <c r="I34" i="12"/>
  <c r="L34" i="12"/>
  <c r="O34" i="12"/>
  <c r="H15" i="12"/>
  <c r="I15" i="12"/>
  <c r="L15" i="12"/>
  <c r="O15" i="12"/>
  <c r="H8" i="12"/>
  <c r="I8" i="12"/>
  <c r="J8" i="12"/>
  <c r="L8" i="12"/>
  <c r="O8" i="12"/>
  <c r="H28" i="12"/>
  <c r="I28" i="12"/>
  <c r="J28" i="12"/>
  <c r="L28" i="12"/>
  <c r="O28" i="12"/>
  <c r="H58" i="12"/>
  <c r="I58" i="12"/>
  <c r="L58" i="12"/>
  <c r="O58" i="12"/>
  <c r="H54" i="12"/>
  <c r="I54" i="12"/>
  <c r="L54" i="12"/>
  <c r="O54" i="12"/>
  <c r="H98" i="12"/>
  <c r="I98" i="12"/>
  <c r="L98" i="12"/>
  <c r="O98" i="12"/>
  <c r="H24" i="12"/>
  <c r="I24" i="12"/>
  <c r="L24" i="12"/>
  <c r="O24" i="12"/>
  <c r="H51" i="12"/>
  <c r="I51" i="12"/>
  <c r="L51" i="12"/>
  <c r="O51" i="12"/>
  <c r="H23" i="12"/>
  <c r="I23" i="12"/>
  <c r="L23" i="12"/>
  <c r="O23" i="12"/>
  <c r="H93" i="12"/>
  <c r="I93" i="12"/>
  <c r="L93" i="12"/>
  <c r="O93" i="12"/>
  <c r="H42" i="12"/>
  <c r="I42" i="12"/>
  <c r="L42" i="12"/>
  <c r="O42" i="12"/>
  <c r="H91" i="12"/>
  <c r="I91" i="12"/>
  <c r="L91" i="12"/>
  <c r="O91" i="12"/>
  <c r="H59" i="12"/>
  <c r="I59" i="12"/>
  <c r="J59" i="12"/>
  <c r="L59" i="12"/>
  <c r="O59" i="12"/>
  <c r="H48" i="12"/>
  <c r="I48" i="12"/>
  <c r="J48" i="12"/>
  <c r="L48" i="12"/>
  <c r="O48" i="12"/>
  <c r="H33" i="12"/>
  <c r="I33" i="12"/>
  <c r="L33" i="12"/>
  <c r="O33" i="12"/>
  <c r="H97" i="12"/>
  <c r="I97" i="12"/>
  <c r="L97" i="12"/>
  <c r="O97" i="12"/>
  <c r="H100" i="12"/>
  <c r="I100" i="12"/>
  <c r="L100" i="12"/>
  <c r="O100" i="12"/>
  <c r="H77" i="12"/>
  <c r="I77" i="12"/>
  <c r="L77" i="12"/>
  <c r="O77" i="12"/>
  <c r="H83" i="12"/>
  <c r="I83" i="12"/>
  <c r="L83" i="12"/>
  <c r="O83" i="12"/>
  <c r="H99" i="12"/>
  <c r="I99" i="12"/>
  <c r="L99" i="12"/>
  <c r="O99" i="12"/>
  <c r="H68" i="12"/>
  <c r="I68" i="12"/>
  <c r="L68" i="12"/>
  <c r="O68" i="12"/>
  <c r="H89" i="12"/>
  <c r="I89" i="12"/>
  <c r="J89" i="12"/>
  <c r="K89" i="12"/>
  <c r="L89" i="12"/>
  <c r="O89" i="12"/>
  <c r="H92" i="12"/>
  <c r="I92" i="12"/>
  <c r="L92" i="12"/>
  <c r="O92" i="12"/>
  <c r="H37" i="12"/>
  <c r="I37" i="12"/>
  <c r="L37" i="12"/>
  <c r="O37" i="12"/>
  <c r="H63" i="12"/>
  <c r="I63" i="12"/>
  <c r="L63" i="12"/>
  <c r="O63" i="12"/>
  <c r="H18" i="12"/>
  <c r="I18" i="12"/>
  <c r="L18" i="12"/>
  <c r="O18" i="12"/>
  <c r="H86" i="12"/>
  <c r="I86" i="12"/>
  <c r="J86" i="12"/>
  <c r="L86" i="12"/>
  <c r="O86" i="12"/>
  <c r="H7" i="12"/>
  <c r="I7" i="12"/>
  <c r="L7" i="12"/>
  <c r="O7" i="12"/>
  <c r="H79" i="12"/>
  <c r="I79" i="12"/>
  <c r="J79" i="12"/>
  <c r="L79" i="12"/>
  <c r="O79" i="12"/>
  <c r="H69" i="12"/>
  <c r="I69" i="12"/>
  <c r="J69" i="12"/>
  <c r="L69" i="12"/>
  <c r="O69" i="12"/>
  <c r="H27" i="12"/>
  <c r="I27" i="12"/>
  <c r="L27" i="12"/>
  <c r="O27" i="12"/>
  <c r="H14" i="12"/>
  <c r="I14" i="12"/>
  <c r="J14" i="12"/>
  <c r="L14" i="12"/>
  <c r="O14" i="12"/>
  <c r="H66" i="12"/>
  <c r="I66" i="12"/>
  <c r="L66" i="12"/>
  <c r="O66" i="12"/>
  <c r="H52" i="12"/>
  <c r="I52" i="12"/>
  <c r="L52" i="12"/>
  <c r="O52" i="12"/>
  <c r="H26" i="12"/>
  <c r="I26" i="12"/>
  <c r="L26" i="12"/>
  <c r="O26" i="12"/>
  <c r="H40" i="12"/>
  <c r="I40" i="12"/>
  <c r="L40" i="12"/>
  <c r="O40" i="12"/>
  <c r="H88" i="12"/>
  <c r="I88" i="12"/>
  <c r="J88" i="12"/>
  <c r="K88" i="12"/>
  <c r="L88" i="12"/>
  <c r="O88" i="12"/>
  <c r="H75" i="12"/>
  <c r="I75" i="12"/>
  <c r="J75" i="12"/>
  <c r="L75" i="12"/>
  <c r="O75" i="12"/>
  <c r="H22" i="12"/>
  <c r="I22" i="12"/>
  <c r="J22" i="12"/>
  <c r="L22" i="12"/>
  <c r="O22" i="12"/>
  <c r="H95" i="12"/>
  <c r="I95" i="12"/>
  <c r="L95" i="12"/>
  <c r="O95" i="12"/>
  <c r="H47" i="12"/>
  <c r="I47" i="12"/>
  <c r="L47" i="12"/>
  <c r="O47" i="12"/>
  <c r="H84" i="12"/>
  <c r="I84" i="12"/>
  <c r="L84" i="12"/>
  <c r="O84" i="12"/>
  <c r="H74" i="12"/>
  <c r="I74" i="12"/>
  <c r="L74" i="12"/>
  <c r="O74" i="12"/>
  <c r="H57" i="12"/>
  <c r="I57" i="12"/>
  <c r="J57" i="12"/>
  <c r="L57" i="12"/>
  <c r="O57" i="12"/>
  <c r="H87" i="12"/>
  <c r="I87" i="12"/>
  <c r="L87" i="12"/>
  <c r="O87" i="12"/>
  <c r="H12" i="12"/>
  <c r="I12" i="12"/>
  <c r="L12" i="12"/>
  <c r="O12" i="12"/>
  <c r="H94" i="12"/>
  <c r="I94" i="12"/>
  <c r="L94" i="12"/>
  <c r="O94" i="12"/>
  <c r="H80" i="12"/>
  <c r="I80" i="12"/>
  <c r="J80" i="12"/>
  <c r="L80" i="12"/>
  <c r="O80" i="12"/>
  <c r="H76" i="12"/>
  <c r="I76" i="12"/>
  <c r="L76" i="12"/>
  <c r="O76" i="12"/>
  <c r="H55" i="12"/>
  <c r="I55" i="12"/>
  <c r="L55" i="12"/>
  <c r="O55" i="12"/>
  <c r="H71" i="12"/>
  <c r="I71" i="12"/>
  <c r="J71" i="12"/>
  <c r="K71" i="12"/>
  <c r="L71" i="12"/>
  <c r="O71" i="12"/>
  <c r="H61" i="12"/>
  <c r="I61" i="12"/>
  <c r="L61" i="12"/>
  <c r="O61" i="12"/>
  <c r="H50" i="12"/>
  <c r="I50" i="12"/>
  <c r="L50" i="12"/>
  <c r="O50" i="12"/>
  <c r="H32" i="12"/>
  <c r="I32" i="12"/>
  <c r="L32" i="12"/>
  <c r="O32" i="12"/>
  <c r="H10" i="12"/>
  <c r="I10" i="12"/>
  <c r="L10" i="12"/>
  <c r="O10" i="12"/>
  <c r="H21" i="12"/>
  <c r="I21" i="12"/>
  <c r="J21" i="12"/>
  <c r="L21" i="12"/>
  <c r="O21" i="12"/>
  <c r="H60" i="12"/>
  <c r="I60" i="12"/>
  <c r="L60" i="12"/>
  <c r="O60" i="12"/>
  <c r="H30" i="12"/>
  <c r="I30" i="12"/>
  <c r="L30" i="12"/>
  <c r="O30" i="12"/>
  <c r="H36" i="12"/>
  <c r="I36" i="12"/>
  <c r="J36" i="12"/>
  <c r="L36" i="12"/>
  <c r="O36" i="12"/>
  <c r="H96" i="12"/>
  <c r="I96" i="12"/>
  <c r="J96" i="12"/>
  <c r="L96" i="12"/>
  <c r="O96" i="12"/>
  <c r="H53" i="12"/>
  <c r="I53" i="12"/>
  <c r="L53" i="12"/>
  <c r="O53" i="12"/>
  <c r="H41" i="12"/>
  <c r="I41" i="12"/>
  <c r="J41" i="12"/>
  <c r="L41" i="12"/>
  <c r="O41" i="12"/>
  <c r="H45" i="12"/>
  <c r="I45" i="12"/>
  <c r="L45" i="12"/>
  <c r="O45" i="12"/>
  <c r="H73" i="12"/>
  <c r="I73" i="12"/>
  <c r="J73" i="12"/>
  <c r="L73" i="12"/>
  <c r="O73" i="12"/>
  <c r="H6" i="12"/>
  <c r="I6" i="12"/>
  <c r="L6" i="12"/>
  <c r="O6" i="12"/>
  <c r="H85" i="12"/>
  <c r="I85" i="12"/>
  <c r="L85" i="12"/>
  <c r="O85" i="12"/>
  <c r="H13" i="12"/>
  <c r="I13" i="12"/>
  <c r="J13" i="12"/>
  <c r="L13" i="12"/>
  <c r="O13" i="12"/>
  <c r="H17" i="12"/>
  <c r="I17" i="12"/>
  <c r="L17" i="12"/>
  <c r="O17" i="12"/>
  <c r="H44" i="12"/>
  <c r="I44" i="12"/>
  <c r="L44" i="12"/>
  <c r="O44" i="12"/>
  <c r="H5" i="12"/>
  <c r="I5" i="12"/>
  <c r="L5" i="12"/>
  <c r="O5" i="12"/>
  <c r="H56" i="12"/>
  <c r="I56" i="12"/>
  <c r="L56" i="12"/>
  <c r="O56" i="12"/>
  <c r="H62" i="12"/>
  <c r="I62" i="12"/>
  <c r="J62" i="12"/>
  <c r="L62" i="12"/>
  <c r="O62" i="12"/>
  <c r="H25" i="12"/>
  <c r="I25" i="12"/>
  <c r="J25" i="12"/>
  <c r="L25" i="12"/>
  <c r="O25" i="12"/>
  <c r="H65" i="12"/>
  <c r="I65" i="12"/>
  <c r="L65" i="12"/>
  <c r="O65" i="12"/>
  <c r="H67" i="12"/>
  <c r="I67" i="12"/>
  <c r="L67" i="12"/>
  <c r="O67" i="12"/>
  <c r="H16" i="12"/>
  <c r="I16" i="12"/>
  <c r="J16" i="12"/>
  <c r="L16" i="12"/>
  <c r="O16" i="12"/>
  <c r="H49" i="12"/>
  <c r="I49" i="12"/>
  <c r="L49" i="12"/>
  <c r="O49" i="12"/>
  <c r="H11" i="12"/>
  <c r="I11" i="12"/>
  <c r="L11" i="12"/>
  <c r="O11" i="12"/>
  <c r="H19" i="12"/>
  <c r="I19" i="12"/>
  <c r="L19" i="12"/>
  <c r="O19" i="12"/>
  <c r="H31" i="12"/>
  <c r="I31" i="12"/>
  <c r="L31" i="12"/>
  <c r="O31" i="12"/>
  <c r="H20" i="12"/>
  <c r="I20" i="12"/>
  <c r="J20" i="12"/>
  <c r="L20" i="12"/>
  <c r="O20" i="12"/>
  <c r="H9" i="12"/>
  <c r="I9" i="12"/>
  <c r="L9" i="12"/>
  <c r="O9" i="12"/>
  <c r="H4" i="12"/>
  <c r="I4" i="12"/>
  <c r="L4" i="12"/>
  <c r="O4" i="12"/>
  <c r="H35" i="12"/>
  <c r="I35" i="12"/>
  <c r="J35" i="12"/>
  <c r="L35" i="12"/>
  <c r="O35" i="12"/>
  <c r="H29" i="12"/>
  <c r="I29" i="12"/>
  <c r="L29" i="12"/>
  <c r="O29" i="12"/>
  <c r="H3" i="12"/>
  <c r="I3" i="12"/>
  <c r="L3" i="12"/>
  <c r="O3" i="12"/>
  <c r="H64" i="12"/>
  <c r="I64" i="12"/>
  <c r="J64" i="12"/>
  <c r="L64" i="12"/>
  <c r="O64" i="12"/>
  <c r="H2" i="12"/>
  <c r="I2" i="12"/>
  <c r="L2" i="12"/>
  <c r="O2" i="12"/>
  <c r="K101" i="9"/>
  <c r="K100" i="9"/>
  <c r="K99" i="9"/>
  <c r="K98" i="9"/>
  <c r="K97" i="9"/>
  <c r="K96" i="9"/>
  <c r="K95" i="9"/>
  <c r="K94" i="9"/>
  <c r="K93" i="9"/>
  <c r="K92" i="9"/>
  <c r="K91" i="9"/>
  <c r="K90" i="9"/>
  <c r="K89" i="9"/>
  <c r="K88" i="9"/>
  <c r="K87" i="9"/>
  <c r="K86" i="9"/>
  <c r="K85" i="9"/>
  <c r="K84" i="9"/>
  <c r="K83" i="9"/>
  <c r="K82" i="9"/>
  <c r="K81" i="9"/>
  <c r="K80" i="9"/>
  <c r="K79" i="9"/>
  <c r="K78" i="9"/>
  <c r="K77" i="9"/>
  <c r="K76" i="9"/>
  <c r="K75" i="9"/>
  <c r="K74" i="9"/>
  <c r="K73" i="9"/>
  <c r="K72" i="9"/>
  <c r="K71" i="9"/>
  <c r="K70" i="9"/>
  <c r="K69" i="9"/>
  <c r="K68" i="9"/>
  <c r="K67" i="9"/>
  <c r="K66" i="9"/>
  <c r="K65" i="9"/>
  <c r="K64" i="9"/>
  <c r="K63" i="9"/>
  <c r="K62" i="9"/>
  <c r="K61" i="9"/>
  <c r="K60" i="9"/>
  <c r="K59" i="9"/>
  <c r="K58" i="9"/>
  <c r="K57" i="9"/>
  <c r="K56" i="9"/>
  <c r="K55" i="9"/>
  <c r="K54" i="9"/>
  <c r="K53" i="9"/>
  <c r="K52" i="9"/>
  <c r="K51" i="9"/>
  <c r="K50" i="9"/>
  <c r="K49" i="9"/>
  <c r="K48" i="9"/>
  <c r="K47" i="9"/>
  <c r="K46" i="9"/>
  <c r="K45" i="9"/>
  <c r="K44" i="9"/>
  <c r="K43" i="9"/>
  <c r="K42" i="9"/>
  <c r="K41" i="9"/>
  <c r="K40" i="9"/>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K6" i="9"/>
  <c r="K5" i="9"/>
  <c r="K4" i="9"/>
  <c r="K3" i="9"/>
  <c r="K2" i="9"/>
  <c r="J423" i="11"/>
  <c r="K423" i="11"/>
  <c r="L423" i="11"/>
  <c r="J422" i="11"/>
  <c r="K422" i="11"/>
  <c r="L422" i="11"/>
  <c r="J421" i="11"/>
  <c r="K421" i="11"/>
  <c r="L421" i="11"/>
  <c r="J420" i="11"/>
  <c r="K420" i="11"/>
  <c r="L420" i="11"/>
  <c r="J419" i="11"/>
  <c r="K419" i="11"/>
  <c r="L419" i="11"/>
  <c r="J418" i="11"/>
  <c r="K418" i="11"/>
  <c r="L418" i="11"/>
  <c r="J415" i="11"/>
  <c r="K415" i="11"/>
  <c r="L415" i="11"/>
  <c r="J414" i="11"/>
  <c r="K414" i="11"/>
  <c r="L414" i="11"/>
  <c r="J413" i="11"/>
  <c r="K413" i="11"/>
  <c r="L413" i="11"/>
  <c r="J412" i="11"/>
  <c r="K412" i="11"/>
  <c r="L412" i="11"/>
  <c r="J411" i="11"/>
  <c r="K411" i="11"/>
  <c r="L411" i="11"/>
  <c r="J409" i="11"/>
  <c r="K409" i="11"/>
  <c r="L409" i="11"/>
  <c r="J407" i="11"/>
  <c r="K407" i="11"/>
  <c r="L407" i="11"/>
  <c r="J408" i="11"/>
  <c r="K408" i="11"/>
  <c r="L408" i="11"/>
  <c r="J406" i="11"/>
  <c r="K406" i="11"/>
  <c r="L406" i="11"/>
  <c r="J404" i="11"/>
  <c r="K404" i="11"/>
  <c r="L404" i="11"/>
  <c r="J403" i="11"/>
  <c r="K403" i="11"/>
  <c r="L403" i="11"/>
  <c r="J399" i="11"/>
  <c r="K399" i="11"/>
  <c r="L399" i="11"/>
  <c r="J398" i="11"/>
  <c r="K398" i="11"/>
  <c r="L398" i="11"/>
  <c r="J402" i="11"/>
  <c r="K402" i="11"/>
  <c r="L402" i="11"/>
  <c r="J397" i="11"/>
  <c r="K397" i="11"/>
  <c r="L397" i="11"/>
  <c r="J396" i="11"/>
  <c r="K396" i="11"/>
  <c r="L396" i="11"/>
  <c r="J395" i="11"/>
  <c r="K395" i="11"/>
  <c r="L395" i="11"/>
  <c r="J392" i="11"/>
  <c r="K392" i="11"/>
  <c r="L392" i="11"/>
  <c r="J391" i="11"/>
  <c r="K391" i="11"/>
  <c r="L391" i="11"/>
  <c r="J390" i="11"/>
  <c r="K390" i="11"/>
  <c r="L390" i="11"/>
  <c r="J389" i="11"/>
  <c r="K389" i="11"/>
  <c r="L389" i="11"/>
  <c r="J388" i="11"/>
  <c r="K388" i="11"/>
  <c r="L388" i="11"/>
  <c r="J387" i="11"/>
  <c r="K387" i="11"/>
  <c r="L387" i="11"/>
  <c r="J386" i="11"/>
  <c r="K386" i="11"/>
  <c r="L386" i="11"/>
  <c r="J385" i="11"/>
  <c r="K385" i="11"/>
  <c r="L385" i="11"/>
  <c r="J384" i="11"/>
  <c r="K384" i="11"/>
  <c r="L384" i="11"/>
  <c r="J383" i="11"/>
  <c r="K383" i="11"/>
  <c r="L383" i="11"/>
  <c r="J382" i="11"/>
  <c r="K382" i="11"/>
  <c r="L382" i="11"/>
  <c r="J381" i="11"/>
  <c r="K381" i="11"/>
  <c r="L381" i="11"/>
  <c r="J378" i="11"/>
  <c r="K378" i="11"/>
  <c r="L378" i="11"/>
  <c r="J377" i="11"/>
  <c r="K377" i="11"/>
  <c r="L377" i="11"/>
  <c r="J375" i="11"/>
  <c r="K375" i="11"/>
  <c r="L375" i="11"/>
  <c r="J374" i="11"/>
  <c r="K374" i="11"/>
  <c r="L374" i="11"/>
  <c r="J373" i="11"/>
  <c r="K373" i="11"/>
  <c r="L373" i="11"/>
  <c r="J372" i="11"/>
  <c r="K372" i="11"/>
  <c r="L372" i="11"/>
  <c r="J371" i="11"/>
  <c r="K371" i="11"/>
  <c r="L371" i="11"/>
  <c r="J370" i="11"/>
  <c r="K370" i="11"/>
  <c r="L370" i="11"/>
  <c r="J369" i="11"/>
  <c r="K369" i="11"/>
  <c r="L369" i="11"/>
  <c r="J368" i="11"/>
  <c r="K368" i="11"/>
  <c r="L368" i="11"/>
  <c r="J367" i="11"/>
  <c r="K367" i="11"/>
  <c r="L367" i="11"/>
  <c r="J366" i="11"/>
  <c r="K366" i="11"/>
  <c r="L366" i="11"/>
  <c r="J365" i="11"/>
  <c r="K365" i="11"/>
  <c r="L365" i="11"/>
  <c r="J364" i="11"/>
  <c r="K364" i="11"/>
  <c r="L364" i="11"/>
  <c r="J363" i="11"/>
  <c r="K363" i="11"/>
  <c r="L363" i="11"/>
  <c r="J362" i="11"/>
  <c r="K362" i="11"/>
  <c r="L362" i="11"/>
  <c r="J361" i="11"/>
  <c r="K361" i="11"/>
  <c r="L361" i="11"/>
  <c r="J360" i="11"/>
  <c r="K360" i="11"/>
  <c r="L360" i="11"/>
  <c r="J359" i="11"/>
  <c r="K359" i="11"/>
  <c r="L359" i="11"/>
  <c r="J358" i="11"/>
  <c r="K358" i="11"/>
  <c r="L358" i="11"/>
  <c r="J356" i="11"/>
  <c r="K356" i="11"/>
  <c r="L356" i="11"/>
  <c r="J355" i="11"/>
  <c r="K355" i="11"/>
  <c r="L355" i="11"/>
  <c r="J354" i="11"/>
  <c r="K354" i="11"/>
  <c r="L354" i="11"/>
  <c r="J353" i="11"/>
  <c r="K353" i="11"/>
  <c r="L353" i="11"/>
  <c r="J352" i="11"/>
  <c r="K352" i="11"/>
  <c r="L352" i="11"/>
  <c r="J350" i="11"/>
  <c r="K350" i="11"/>
  <c r="L350" i="11"/>
  <c r="J348" i="11"/>
  <c r="K348" i="11"/>
  <c r="L348" i="11"/>
  <c r="J347" i="11"/>
  <c r="K347" i="11"/>
  <c r="L347" i="11"/>
  <c r="J346" i="11"/>
  <c r="K346" i="11"/>
  <c r="L346" i="11"/>
  <c r="J345" i="11"/>
  <c r="K345" i="11"/>
  <c r="L345" i="11"/>
  <c r="J344" i="11"/>
  <c r="K344" i="11"/>
  <c r="L344" i="11"/>
  <c r="J343" i="11"/>
  <c r="K343" i="11"/>
  <c r="L343" i="11"/>
  <c r="J342" i="11"/>
  <c r="K342" i="11"/>
  <c r="L342" i="11"/>
  <c r="J341" i="11"/>
  <c r="K341" i="11"/>
  <c r="L341" i="11"/>
  <c r="J332" i="11"/>
  <c r="K332" i="11"/>
  <c r="L332" i="11"/>
  <c r="J340" i="11"/>
  <c r="K340" i="11"/>
  <c r="L340" i="11"/>
  <c r="J339" i="11"/>
  <c r="K339" i="11"/>
  <c r="L339" i="11"/>
  <c r="J336" i="11"/>
  <c r="K336" i="11"/>
  <c r="L336" i="11"/>
  <c r="J335" i="11"/>
  <c r="K335" i="11"/>
  <c r="L335" i="11"/>
  <c r="J334" i="11"/>
  <c r="K334" i="11"/>
  <c r="L334" i="11"/>
  <c r="J333" i="11"/>
  <c r="K333" i="11"/>
  <c r="L333" i="11"/>
  <c r="J331" i="11"/>
  <c r="K331" i="11"/>
  <c r="L331" i="11"/>
  <c r="J330" i="11"/>
  <c r="K330" i="11"/>
  <c r="L330" i="11"/>
  <c r="J329" i="11"/>
  <c r="K329" i="11"/>
  <c r="L329" i="11"/>
  <c r="J326" i="11"/>
  <c r="K326" i="11"/>
  <c r="L326" i="11"/>
  <c r="J325" i="11"/>
  <c r="K325" i="11"/>
  <c r="L325" i="11"/>
  <c r="J324" i="11"/>
  <c r="K324" i="11"/>
  <c r="L324" i="11"/>
  <c r="J323" i="11"/>
  <c r="K323" i="11"/>
  <c r="L323" i="11"/>
  <c r="J322" i="11"/>
  <c r="K322" i="11"/>
  <c r="L322" i="11"/>
  <c r="J321" i="11"/>
  <c r="K321" i="11"/>
  <c r="L321" i="11"/>
  <c r="J320" i="11"/>
  <c r="K320" i="11"/>
  <c r="L320" i="11"/>
  <c r="J318" i="11"/>
  <c r="K318" i="11"/>
  <c r="L318" i="11"/>
  <c r="J317" i="11"/>
  <c r="K317" i="11"/>
  <c r="L317" i="11"/>
  <c r="J316" i="11"/>
  <c r="K316" i="11"/>
  <c r="L316" i="11"/>
  <c r="J315" i="11"/>
  <c r="K315" i="11"/>
  <c r="L315" i="11"/>
  <c r="J314" i="11"/>
  <c r="K314" i="11"/>
  <c r="L314" i="11"/>
  <c r="J313" i="11"/>
  <c r="K313" i="11"/>
  <c r="L313" i="11"/>
  <c r="J310" i="11"/>
  <c r="K310" i="11"/>
  <c r="L310" i="11"/>
  <c r="J308" i="11"/>
  <c r="K308" i="11"/>
  <c r="L308" i="11"/>
  <c r="J307" i="11"/>
  <c r="K307" i="11"/>
  <c r="L307" i="11"/>
  <c r="J305" i="11"/>
  <c r="K305" i="11"/>
  <c r="L305" i="11"/>
  <c r="J304" i="11"/>
  <c r="K304" i="11"/>
  <c r="L304" i="11"/>
  <c r="J303" i="11"/>
  <c r="K303" i="11"/>
  <c r="L303" i="11"/>
  <c r="J302" i="11"/>
  <c r="K302" i="11"/>
  <c r="L302" i="11"/>
  <c r="J300" i="11"/>
  <c r="K300" i="11"/>
  <c r="L300" i="11"/>
  <c r="J299" i="11"/>
  <c r="K299" i="11"/>
  <c r="L299" i="11"/>
  <c r="J298" i="11"/>
  <c r="K298" i="11"/>
  <c r="L298" i="11"/>
  <c r="J297" i="11"/>
  <c r="K297" i="11"/>
  <c r="L297" i="11"/>
  <c r="J296" i="11"/>
  <c r="K296" i="11"/>
  <c r="L296" i="11"/>
  <c r="J295" i="11"/>
  <c r="K295" i="11"/>
  <c r="L295" i="11"/>
  <c r="J293" i="11"/>
  <c r="K293" i="11"/>
  <c r="L293" i="11"/>
  <c r="J292" i="11"/>
  <c r="K292" i="11"/>
  <c r="L292" i="11"/>
  <c r="J291" i="11"/>
  <c r="K291" i="11"/>
  <c r="L291" i="11"/>
  <c r="J290" i="11"/>
  <c r="K290" i="11"/>
  <c r="L290" i="11"/>
  <c r="J288" i="11"/>
  <c r="K288" i="11"/>
  <c r="L288" i="11"/>
  <c r="J287" i="11"/>
  <c r="K287" i="11"/>
  <c r="L287" i="11"/>
  <c r="J286" i="11"/>
  <c r="K286" i="11"/>
  <c r="L286" i="11"/>
  <c r="J285" i="11"/>
  <c r="K285" i="11"/>
  <c r="L285" i="11"/>
  <c r="J282" i="11"/>
  <c r="K282" i="11"/>
  <c r="L282" i="11"/>
  <c r="J281" i="11"/>
  <c r="K281" i="11"/>
  <c r="L281" i="11"/>
  <c r="J280" i="11"/>
  <c r="K280" i="11"/>
  <c r="L280" i="11"/>
  <c r="J279" i="11"/>
  <c r="K279" i="11"/>
  <c r="L279" i="11"/>
  <c r="J276" i="11"/>
  <c r="K276" i="11"/>
  <c r="L276" i="11"/>
  <c r="J275" i="11"/>
  <c r="K275" i="11"/>
  <c r="L275" i="11"/>
  <c r="J274" i="11"/>
  <c r="K274" i="11"/>
  <c r="L274" i="11"/>
  <c r="J273" i="11"/>
  <c r="K273" i="11"/>
  <c r="L273" i="11"/>
  <c r="J272" i="11"/>
  <c r="K272" i="11"/>
  <c r="L272" i="11"/>
  <c r="J271" i="11"/>
  <c r="K271" i="11"/>
  <c r="L271" i="11"/>
  <c r="J270" i="11"/>
  <c r="K270" i="11"/>
  <c r="L270" i="11"/>
  <c r="J269" i="11"/>
  <c r="K269" i="11"/>
  <c r="L269" i="11"/>
  <c r="J268" i="11"/>
  <c r="K268" i="11"/>
  <c r="L268" i="11"/>
  <c r="J267" i="11"/>
  <c r="K267" i="11"/>
  <c r="L267" i="11"/>
  <c r="J265" i="11"/>
  <c r="K265" i="11"/>
  <c r="L265" i="11"/>
  <c r="J264" i="11"/>
  <c r="K264" i="11"/>
  <c r="L264" i="11"/>
  <c r="J262" i="11"/>
  <c r="K262" i="11"/>
  <c r="L262" i="11"/>
  <c r="J261" i="11"/>
  <c r="K261" i="11"/>
  <c r="L261" i="11"/>
  <c r="J260" i="11"/>
  <c r="K260" i="11"/>
  <c r="L260" i="11"/>
  <c r="J258" i="11"/>
  <c r="K258" i="11"/>
  <c r="L258" i="11"/>
  <c r="J257" i="11"/>
  <c r="K257" i="11"/>
  <c r="L257" i="11"/>
  <c r="J256" i="11"/>
  <c r="K256" i="11"/>
  <c r="L256" i="11"/>
  <c r="J255" i="11"/>
  <c r="K255" i="11"/>
  <c r="L255" i="11"/>
  <c r="J254" i="11"/>
  <c r="K254" i="11"/>
  <c r="L254" i="11"/>
  <c r="J253" i="11"/>
  <c r="K253" i="11"/>
  <c r="L253" i="11"/>
  <c r="J252" i="11"/>
  <c r="K252" i="11"/>
  <c r="L252" i="11"/>
  <c r="J251" i="11"/>
  <c r="K251" i="11"/>
  <c r="L251" i="11"/>
  <c r="J250" i="11"/>
  <c r="K250" i="11"/>
  <c r="L250" i="11"/>
  <c r="J249" i="11"/>
  <c r="K249" i="11"/>
  <c r="L249" i="11"/>
  <c r="J247" i="11"/>
  <c r="K247" i="11"/>
  <c r="L247" i="11"/>
  <c r="J246" i="11"/>
  <c r="K246" i="11"/>
  <c r="L246" i="11"/>
  <c r="J248" i="11"/>
  <c r="K248" i="11"/>
  <c r="L248" i="11"/>
  <c r="J245" i="11"/>
  <c r="K245" i="11"/>
  <c r="L245" i="11"/>
  <c r="J244" i="11"/>
  <c r="K244" i="11"/>
  <c r="L244" i="11"/>
  <c r="J243" i="11"/>
  <c r="K243" i="11"/>
  <c r="L243" i="11"/>
  <c r="J242" i="11"/>
  <c r="K242" i="11"/>
  <c r="L242" i="11"/>
  <c r="J240" i="11"/>
  <c r="K240" i="11"/>
  <c r="L240" i="11"/>
  <c r="J239" i="11"/>
  <c r="K239" i="11"/>
  <c r="L239" i="11"/>
  <c r="J238" i="11"/>
  <c r="K238" i="11"/>
  <c r="L238" i="11"/>
  <c r="J237" i="11"/>
  <c r="K237" i="11"/>
  <c r="L237" i="11"/>
  <c r="J235" i="11"/>
  <c r="K235" i="11"/>
  <c r="L235" i="11"/>
  <c r="J234" i="11"/>
  <c r="K234" i="11"/>
  <c r="L234" i="11"/>
  <c r="J233" i="11"/>
  <c r="K233" i="11"/>
  <c r="L233" i="11"/>
  <c r="J232" i="11"/>
  <c r="K232" i="11"/>
  <c r="L232" i="11"/>
  <c r="J231" i="11"/>
  <c r="K231" i="11"/>
  <c r="L231" i="11"/>
  <c r="J230" i="11"/>
  <c r="K230" i="11"/>
  <c r="L230" i="11"/>
  <c r="J229" i="11"/>
  <c r="K229" i="11"/>
  <c r="L229" i="11"/>
  <c r="J227" i="11"/>
  <c r="K227" i="11"/>
  <c r="L227" i="11"/>
  <c r="J226" i="11"/>
  <c r="K226" i="11"/>
  <c r="L226" i="11"/>
  <c r="J225" i="11"/>
  <c r="K225" i="11"/>
  <c r="L225" i="11"/>
  <c r="J224" i="11"/>
  <c r="K224" i="11"/>
  <c r="L224" i="11"/>
  <c r="J222" i="11"/>
  <c r="K222" i="11"/>
  <c r="L222" i="11"/>
  <c r="J221" i="11"/>
  <c r="K221" i="11"/>
  <c r="L221" i="11"/>
  <c r="J219" i="11"/>
  <c r="K219" i="11"/>
  <c r="L219" i="11"/>
  <c r="J218" i="11"/>
  <c r="K218" i="11"/>
  <c r="L218" i="11"/>
  <c r="J217" i="11"/>
  <c r="K217" i="11"/>
  <c r="L217" i="11"/>
  <c r="J216" i="11"/>
  <c r="K216" i="11"/>
  <c r="L216" i="11"/>
  <c r="J215" i="11"/>
  <c r="K215" i="11"/>
  <c r="L215" i="11"/>
  <c r="J214" i="11"/>
  <c r="K214" i="11"/>
  <c r="L214" i="11"/>
  <c r="J213" i="11"/>
  <c r="K213" i="11"/>
  <c r="L213" i="11"/>
  <c r="J212" i="11"/>
  <c r="K212" i="11"/>
  <c r="L212" i="11"/>
  <c r="J211" i="11"/>
  <c r="K211" i="11"/>
  <c r="L211" i="11"/>
  <c r="J210" i="11"/>
  <c r="K210" i="11"/>
  <c r="L210" i="11"/>
  <c r="J209" i="11"/>
  <c r="K209" i="11"/>
  <c r="L209" i="11"/>
  <c r="J208" i="11"/>
  <c r="K208" i="11"/>
  <c r="L208" i="11"/>
  <c r="J207" i="11"/>
  <c r="K207" i="11"/>
  <c r="L207" i="11"/>
  <c r="J206" i="11"/>
  <c r="K206" i="11"/>
  <c r="L206" i="11"/>
  <c r="J205" i="11"/>
  <c r="K205" i="11"/>
  <c r="L205" i="11"/>
  <c r="J204" i="11"/>
  <c r="K204" i="11"/>
  <c r="L204" i="11"/>
  <c r="J203" i="11"/>
  <c r="K203" i="11"/>
  <c r="L203" i="11"/>
  <c r="J201" i="11"/>
  <c r="K201" i="11"/>
  <c r="L201" i="11"/>
  <c r="J200" i="11"/>
  <c r="K200" i="11"/>
  <c r="L200" i="11"/>
  <c r="J199" i="11"/>
  <c r="K199" i="11"/>
  <c r="L199" i="11"/>
  <c r="J198" i="11"/>
  <c r="K198" i="11"/>
  <c r="L198" i="11"/>
  <c r="J197" i="11"/>
  <c r="K197" i="11"/>
  <c r="L197" i="11"/>
  <c r="J196" i="11"/>
  <c r="K196" i="11"/>
  <c r="L196" i="11"/>
  <c r="J195" i="11"/>
  <c r="K195" i="11"/>
  <c r="L195" i="11"/>
  <c r="J194" i="11"/>
  <c r="K194" i="11"/>
  <c r="L194" i="11"/>
  <c r="J193" i="11"/>
  <c r="K193" i="11"/>
  <c r="L193" i="11"/>
  <c r="J192" i="11"/>
  <c r="K192" i="11"/>
  <c r="L192" i="11"/>
  <c r="J191" i="11"/>
  <c r="K191" i="11"/>
  <c r="L191" i="11"/>
  <c r="J190" i="11"/>
  <c r="K190" i="11"/>
  <c r="L190" i="11"/>
  <c r="J189" i="11"/>
  <c r="K189" i="11"/>
  <c r="L189" i="11"/>
  <c r="J187" i="11"/>
  <c r="K187" i="11"/>
  <c r="L187" i="11"/>
  <c r="J186" i="11"/>
  <c r="K186" i="11"/>
  <c r="L186" i="11"/>
  <c r="J185" i="11"/>
  <c r="K185" i="11"/>
  <c r="L185" i="11"/>
  <c r="J184" i="11"/>
  <c r="K184" i="11"/>
  <c r="L184" i="11"/>
  <c r="J183" i="11"/>
  <c r="K183" i="11"/>
  <c r="L183" i="11"/>
  <c r="J182" i="11"/>
  <c r="K182" i="11"/>
  <c r="L182" i="11"/>
  <c r="J181" i="11"/>
  <c r="K181" i="11"/>
  <c r="L181" i="11"/>
  <c r="J180" i="11"/>
  <c r="K180" i="11"/>
  <c r="L180" i="11"/>
  <c r="J179" i="11"/>
  <c r="K179" i="11"/>
  <c r="L179" i="11"/>
  <c r="J177" i="11"/>
  <c r="K177" i="11"/>
  <c r="L177" i="11"/>
  <c r="J176" i="11"/>
  <c r="K176" i="11"/>
  <c r="L176" i="11"/>
  <c r="J175" i="11"/>
  <c r="K175" i="11"/>
  <c r="L175" i="11"/>
  <c r="J174" i="11"/>
  <c r="K174" i="11"/>
  <c r="L174" i="11"/>
  <c r="J173" i="11"/>
  <c r="K173" i="11"/>
  <c r="L173" i="11"/>
  <c r="J170" i="11"/>
  <c r="K170" i="11"/>
  <c r="L170" i="11"/>
  <c r="J169" i="11"/>
  <c r="K169" i="11"/>
  <c r="L169" i="11"/>
  <c r="J168" i="11"/>
  <c r="K168" i="11"/>
  <c r="L168" i="11"/>
  <c r="J167" i="11"/>
  <c r="K167" i="11"/>
  <c r="L167" i="11"/>
  <c r="J165" i="11"/>
  <c r="K165" i="11"/>
  <c r="L165" i="11"/>
  <c r="J164" i="11"/>
  <c r="K164" i="11"/>
  <c r="L164" i="11"/>
  <c r="J163" i="11"/>
  <c r="K163" i="11"/>
  <c r="L163" i="11"/>
  <c r="J162" i="11"/>
  <c r="K162" i="11"/>
  <c r="L162" i="11"/>
  <c r="J160" i="11"/>
  <c r="K160" i="11"/>
  <c r="L160" i="11"/>
  <c r="J159" i="11"/>
  <c r="K159" i="11"/>
  <c r="L159" i="11"/>
  <c r="J158" i="11"/>
  <c r="K158" i="11"/>
  <c r="L158" i="11"/>
  <c r="J157" i="11"/>
  <c r="K157" i="11"/>
  <c r="L157" i="11"/>
  <c r="J156" i="11"/>
  <c r="K156" i="11"/>
  <c r="L156" i="11"/>
  <c r="J155" i="11"/>
  <c r="K155" i="11"/>
  <c r="L155" i="11"/>
  <c r="J154" i="11"/>
  <c r="K154" i="11"/>
  <c r="L154" i="11"/>
  <c r="J151" i="11"/>
  <c r="K151" i="11"/>
  <c r="L151" i="11"/>
  <c r="J150" i="11"/>
  <c r="K150" i="11"/>
  <c r="L150" i="11"/>
  <c r="J148" i="11"/>
  <c r="K148" i="11"/>
  <c r="L148" i="11"/>
  <c r="J147" i="11"/>
  <c r="K147" i="11"/>
  <c r="L147" i="11"/>
  <c r="J146" i="11"/>
  <c r="K146" i="11"/>
  <c r="L146" i="11"/>
  <c r="J145" i="11"/>
  <c r="K145" i="11"/>
  <c r="L145" i="11"/>
  <c r="J144" i="11"/>
  <c r="K144" i="11"/>
  <c r="L144" i="11"/>
  <c r="J142" i="11"/>
  <c r="K142" i="11"/>
  <c r="L142" i="11"/>
  <c r="J141" i="11"/>
  <c r="K141" i="11"/>
  <c r="L141" i="11"/>
  <c r="J138" i="11"/>
  <c r="K138" i="11"/>
  <c r="L138" i="11"/>
  <c r="J135" i="11"/>
  <c r="K135" i="11"/>
  <c r="L135" i="11"/>
  <c r="J129" i="11"/>
  <c r="K129" i="11"/>
  <c r="L129" i="11"/>
  <c r="J128" i="11"/>
  <c r="K128" i="11"/>
  <c r="L128" i="11"/>
  <c r="J122" i="11"/>
  <c r="K122" i="11"/>
  <c r="L122" i="11"/>
  <c r="J118" i="11"/>
  <c r="K118" i="11"/>
  <c r="L118" i="11"/>
  <c r="J116" i="11"/>
  <c r="K116" i="11"/>
  <c r="L116" i="11"/>
  <c r="J115" i="11"/>
  <c r="K115" i="11"/>
  <c r="L115" i="11"/>
  <c r="J113" i="11"/>
  <c r="K113" i="11"/>
  <c r="L113" i="11"/>
  <c r="J112" i="11"/>
  <c r="K112" i="11"/>
  <c r="L112" i="11"/>
  <c r="J111" i="11"/>
  <c r="K111" i="11"/>
  <c r="L111" i="11"/>
  <c r="J110" i="11"/>
  <c r="K110" i="11"/>
  <c r="L110" i="11"/>
  <c r="J109" i="11"/>
  <c r="K109" i="11"/>
  <c r="L109" i="11"/>
  <c r="J108" i="11"/>
  <c r="K108" i="11"/>
  <c r="L108" i="11"/>
  <c r="J107" i="11"/>
  <c r="K107" i="11"/>
  <c r="L107" i="11"/>
  <c r="J106" i="11"/>
  <c r="K106" i="11"/>
  <c r="L106" i="11"/>
  <c r="J105" i="11"/>
  <c r="K105" i="11"/>
  <c r="L105" i="11"/>
  <c r="J103" i="11"/>
  <c r="K103" i="11"/>
  <c r="L103" i="11"/>
  <c r="J102" i="11"/>
  <c r="K102" i="11"/>
  <c r="L102" i="11"/>
  <c r="J101" i="11"/>
  <c r="K101" i="11"/>
  <c r="L101" i="11"/>
  <c r="J100" i="11"/>
  <c r="K100" i="11"/>
  <c r="L100" i="11"/>
  <c r="J99" i="11"/>
  <c r="K99" i="11"/>
  <c r="L99" i="11"/>
  <c r="J98" i="11"/>
  <c r="K98" i="11"/>
  <c r="L98" i="11"/>
  <c r="J97" i="11"/>
  <c r="K97" i="11"/>
  <c r="L97" i="11"/>
  <c r="J96" i="11"/>
  <c r="K96" i="11"/>
  <c r="L96" i="11"/>
  <c r="J95" i="11"/>
  <c r="K95" i="11"/>
  <c r="L95" i="11"/>
  <c r="J92" i="11"/>
  <c r="K92" i="11"/>
  <c r="L92" i="11"/>
  <c r="J91" i="11"/>
  <c r="K91" i="11"/>
  <c r="L91" i="11"/>
  <c r="J90" i="11"/>
  <c r="K90" i="11"/>
  <c r="L90" i="11"/>
  <c r="J89" i="11"/>
  <c r="K89" i="11"/>
  <c r="L89" i="11"/>
  <c r="J88" i="11"/>
  <c r="K88" i="11"/>
  <c r="L88" i="11"/>
  <c r="J87" i="11"/>
  <c r="K87" i="11"/>
  <c r="L87" i="11"/>
  <c r="J86" i="11"/>
  <c r="K86" i="11"/>
  <c r="L86" i="11"/>
  <c r="J85" i="11"/>
  <c r="K85" i="11"/>
  <c r="L85" i="11"/>
  <c r="J79" i="11"/>
  <c r="K79" i="11"/>
  <c r="L79" i="11"/>
  <c r="J83" i="11"/>
  <c r="K83" i="11"/>
  <c r="L83" i="11"/>
  <c r="J82" i="11"/>
  <c r="K82" i="11"/>
  <c r="L82" i="11"/>
  <c r="J81" i="11"/>
  <c r="K81" i="11"/>
  <c r="L81" i="11"/>
  <c r="J80" i="11"/>
  <c r="K80" i="11"/>
  <c r="L80" i="11"/>
  <c r="J78" i="11"/>
  <c r="K78" i="11"/>
  <c r="L78" i="11"/>
  <c r="J77" i="11"/>
  <c r="K77" i="11"/>
  <c r="L77" i="11"/>
  <c r="J76" i="11"/>
  <c r="K76" i="11"/>
  <c r="L76" i="11"/>
  <c r="J74" i="11"/>
  <c r="K74" i="11"/>
  <c r="L74" i="11"/>
  <c r="J73" i="11"/>
  <c r="K73" i="11"/>
  <c r="L73" i="11"/>
  <c r="J72" i="11"/>
  <c r="K72" i="11"/>
  <c r="L72" i="11"/>
  <c r="J69" i="11"/>
  <c r="K69" i="11"/>
  <c r="L69" i="11"/>
  <c r="J68" i="11"/>
  <c r="K68" i="11"/>
  <c r="L68" i="11"/>
  <c r="J67" i="11"/>
  <c r="K67" i="11"/>
  <c r="L67" i="11"/>
  <c r="J65" i="11"/>
  <c r="K65" i="11"/>
  <c r="L65" i="11"/>
  <c r="J64" i="11"/>
  <c r="K64" i="11"/>
  <c r="L64" i="11"/>
  <c r="J63" i="11"/>
  <c r="K63" i="11"/>
  <c r="L63" i="11"/>
  <c r="J62" i="11"/>
  <c r="K62" i="11"/>
  <c r="L62" i="11"/>
  <c r="J61" i="11"/>
  <c r="K61" i="11"/>
  <c r="L61" i="11"/>
  <c r="J59" i="11"/>
  <c r="K59" i="11"/>
  <c r="L59" i="11"/>
  <c r="J57" i="11"/>
  <c r="K57" i="11"/>
  <c r="L57" i="11"/>
  <c r="J56" i="11"/>
  <c r="K56" i="11"/>
  <c r="L56" i="11"/>
  <c r="J55" i="11"/>
  <c r="K55" i="11"/>
  <c r="L55" i="11"/>
  <c r="J54" i="11"/>
  <c r="K54" i="11"/>
  <c r="L54" i="11"/>
  <c r="J53" i="11"/>
  <c r="K53" i="11"/>
  <c r="L53" i="11"/>
  <c r="J52" i="11"/>
  <c r="K52" i="11"/>
  <c r="L52" i="11"/>
  <c r="J50" i="11"/>
  <c r="K50" i="11"/>
  <c r="L50" i="11"/>
  <c r="J48" i="11"/>
  <c r="K48" i="11"/>
  <c r="L48" i="11"/>
  <c r="J47" i="11"/>
  <c r="K47" i="11"/>
  <c r="L47" i="11"/>
  <c r="J45" i="11"/>
  <c r="K45" i="11"/>
  <c r="L45" i="11"/>
  <c r="J44" i="11"/>
  <c r="K44" i="11"/>
  <c r="L44" i="11"/>
  <c r="J42" i="11"/>
  <c r="K42" i="11"/>
  <c r="L42" i="11"/>
  <c r="J41" i="11"/>
  <c r="K41" i="11"/>
  <c r="L41" i="11"/>
  <c r="J40" i="11"/>
  <c r="K40" i="11"/>
  <c r="L40" i="11"/>
  <c r="J39" i="11"/>
  <c r="K39" i="11"/>
  <c r="L39" i="11"/>
  <c r="J38" i="11"/>
  <c r="K38" i="11"/>
  <c r="L38" i="11"/>
  <c r="J37" i="11"/>
  <c r="K37" i="11"/>
  <c r="L37" i="11"/>
  <c r="J36" i="11"/>
  <c r="K36" i="11"/>
  <c r="L36" i="11"/>
  <c r="J34" i="11"/>
  <c r="K34" i="11"/>
  <c r="L34" i="11"/>
  <c r="J33" i="11"/>
  <c r="K33" i="11"/>
  <c r="L33" i="11"/>
  <c r="J32" i="11"/>
  <c r="K32" i="11"/>
  <c r="L32" i="11"/>
  <c r="J31" i="11"/>
  <c r="K31" i="11"/>
  <c r="L31" i="11"/>
  <c r="J30" i="11"/>
  <c r="K30" i="11"/>
  <c r="L30" i="11"/>
  <c r="J29" i="11"/>
  <c r="K29" i="11"/>
  <c r="L29" i="11"/>
  <c r="J28" i="11"/>
  <c r="K28" i="11"/>
  <c r="L28" i="11"/>
  <c r="J27" i="11"/>
  <c r="K27" i="11"/>
  <c r="L27" i="11"/>
  <c r="J26" i="11"/>
  <c r="K26" i="11"/>
  <c r="L26" i="11"/>
  <c r="J25" i="11"/>
  <c r="K25" i="11"/>
  <c r="L25" i="11"/>
  <c r="J24" i="11"/>
  <c r="K24" i="11"/>
  <c r="L24" i="11"/>
  <c r="J23" i="11"/>
  <c r="K23" i="11"/>
  <c r="L23" i="11"/>
  <c r="J22" i="11"/>
  <c r="K22" i="11"/>
  <c r="L22" i="11"/>
  <c r="J21" i="11"/>
  <c r="K21" i="11"/>
  <c r="L21" i="11"/>
  <c r="J20" i="11"/>
  <c r="K20" i="11"/>
  <c r="L20" i="11"/>
  <c r="J19" i="11"/>
  <c r="K19" i="11"/>
  <c r="L19" i="11"/>
  <c r="J18" i="11"/>
  <c r="K18" i="11"/>
  <c r="L18" i="11"/>
  <c r="J17" i="11"/>
  <c r="K17" i="11"/>
  <c r="L17" i="11"/>
  <c r="J16" i="11"/>
  <c r="K16" i="11"/>
  <c r="L16" i="11"/>
  <c r="J15" i="11"/>
  <c r="K15" i="11"/>
  <c r="L15" i="11"/>
  <c r="J14" i="11"/>
  <c r="K14" i="11"/>
  <c r="L14" i="11"/>
  <c r="J13" i="11"/>
  <c r="K13" i="11"/>
  <c r="L13" i="11"/>
  <c r="J12" i="11"/>
  <c r="K12" i="11"/>
  <c r="L12" i="11"/>
  <c r="J11" i="11"/>
  <c r="K11" i="11"/>
  <c r="L11" i="11"/>
  <c r="J10" i="11"/>
  <c r="K10" i="11"/>
  <c r="L10" i="11"/>
  <c r="J9" i="11"/>
  <c r="K9" i="11"/>
  <c r="L9" i="11"/>
  <c r="J8" i="11"/>
  <c r="K8" i="11"/>
  <c r="L8" i="11"/>
  <c r="J7" i="11"/>
  <c r="K7" i="11"/>
  <c r="L7" i="11"/>
  <c r="J6" i="11"/>
  <c r="K6" i="11"/>
  <c r="L6" i="11"/>
  <c r="J5" i="11"/>
  <c r="K5" i="11"/>
  <c r="L5" i="11"/>
  <c r="J4" i="11"/>
  <c r="K4" i="11"/>
  <c r="L4" i="11"/>
  <c r="J3" i="11"/>
  <c r="K3" i="11"/>
  <c r="L3" i="11"/>
  <c r="J2" i="11"/>
  <c r="K2" i="11"/>
  <c r="L2" i="11"/>
  <c r="I136" i="11"/>
  <c r="J136" i="11"/>
  <c r="K136" i="11"/>
  <c r="L136" i="11"/>
  <c r="I259" i="11"/>
  <c r="H259" i="11"/>
  <c r="J259" i="11"/>
  <c r="K259" i="11"/>
  <c r="L259" i="11"/>
  <c r="I241" i="11"/>
  <c r="H241" i="11"/>
  <c r="J241" i="11"/>
  <c r="K241" i="11"/>
  <c r="L241" i="11"/>
  <c r="I161" i="11"/>
  <c r="H161" i="11"/>
  <c r="J161" i="11"/>
  <c r="K161" i="11"/>
  <c r="L161" i="11"/>
  <c r="I153" i="11"/>
  <c r="H153" i="11"/>
  <c r="J153" i="11"/>
  <c r="K153" i="11"/>
  <c r="L153" i="11"/>
  <c r="I152" i="11"/>
  <c r="H152" i="11"/>
  <c r="J152" i="11"/>
  <c r="K152" i="11"/>
  <c r="L152" i="11"/>
  <c r="I405" i="11"/>
  <c r="H405" i="11"/>
  <c r="J405" i="11"/>
  <c r="K405" i="11"/>
  <c r="L405" i="11"/>
  <c r="I393" i="11"/>
  <c r="H393" i="11"/>
  <c r="J393" i="11"/>
  <c r="K393" i="11"/>
  <c r="L393" i="11"/>
  <c r="I351" i="11"/>
  <c r="H351" i="11"/>
  <c r="J351" i="11"/>
  <c r="K351" i="11"/>
  <c r="L351" i="11"/>
  <c r="I312" i="11"/>
  <c r="H312" i="11"/>
  <c r="J312" i="11"/>
  <c r="K312" i="11"/>
  <c r="L312" i="11"/>
  <c r="I178" i="11"/>
  <c r="H178" i="11"/>
  <c r="J178" i="11"/>
  <c r="K178" i="11"/>
  <c r="L178" i="11"/>
  <c r="I166" i="11"/>
  <c r="H166" i="11"/>
  <c r="J166" i="11"/>
  <c r="K166" i="11"/>
  <c r="L166" i="11"/>
  <c r="I66" i="11"/>
  <c r="H66" i="11"/>
  <c r="J66" i="11"/>
  <c r="K66" i="11"/>
  <c r="L66" i="11"/>
  <c r="I357" i="11"/>
  <c r="H357" i="11"/>
  <c r="J357" i="11"/>
  <c r="K357" i="11"/>
  <c r="L357" i="11"/>
  <c r="I43" i="11"/>
  <c r="H43" i="11"/>
  <c r="J43" i="11"/>
  <c r="K43" i="11"/>
  <c r="L43" i="11"/>
  <c r="I266" i="11"/>
  <c r="H266" i="11"/>
  <c r="J266" i="11"/>
  <c r="K266" i="11"/>
  <c r="L266" i="11"/>
  <c r="I228" i="11"/>
  <c r="H228" i="11"/>
  <c r="J228" i="11"/>
  <c r="K228" i="11"/>
  <c r="L228" i="11"/>
  <c r="I349" i="11"/>
  <c r="H349" i="11"/>
  <c r="J349" i="11"/>
  <c r="K349" i="11"/>
  <c r="L349" i="11"/>
  <c r="I188" i="11"/>
  <c r="H188" i="11"/>
  <c r="J188" i="11"/>
  <c r="K188" i="11"/>
  <c r="L188" i="11"/>
  <c r="I220" i="11"/>
  <c r="H220" i="11"/>
  <c r="J220" i="11"/>
  <c r="K220" i="11"/>
  <c r="L220" i="11"/>
  <c r="I278" i="11"/>
  <c r="H278" i="11"/>
  <c r="J278" i="11"/>
  <c r="K278" i="11"/>
  <c r="L278" i="11"/>
  <c r="I60" i="11"/>
  <c r="H60" i="11"/>
  <c r="J60" i="11"/>
  <c r="K60" i="11"/>
  <c r="L60" i="11"/>
  <c r="I58" i="11"/>
  <c r="H58" i="11"/>
  <c r="J58" i="11"/>
  <c r="K58" i="11"/>
  <c r="L58" i="11"/>
  <c r="I51" i="11"/>
  <c r="H51" i="11"/>
  <c r="J51" i="11"/>
  <c r="K51" i="11"/>
  <c r="L51" i="11"/>
  <c r="I49" i="11"/>
  <c r="H49" i="11"/>
  <c r="J49" i="11"/>
  <c r="K49" i="11"/>
  <c r="L49" i="11"/>
  <c r="I46" i="11"/>
  <c r="H46" i="11"/>
  <c r="J46" i="11"/>
  <c r="K46" i="11"/>
  <c r="L46" i="11"/>
  <c r="I311" i="11"/>
  <c r="H311" i="11"/>
  <c r="J311" i="11"/>
  <c r="K311" i="11"/>
  <c r="L311" i="11"/>
  <c r="I132" i="11"/>
  <c r="H132" i="11"/>
  <c r="J132" i="11"/>
  <c r="K132" i="11"/>
  <c r="L132" i="11"/>
  <c r="I84" i="11"/>
  <c r="H84" i="11"/>
  <c r="J84" i="11"/>
  <c r="K84" i="11"/>
  <c r="L84" i="11"/>
  <c r="I137" i="11"/>
  <c r="H137" i="11"/>
  <c r="J137" i="11"/>
  <c r="K137" i="11"/>
  <c r="L137" i="11"/>
  <c r="I104" i="11"/>
  <c r="H104" i="11"/>
  <c r="J104" i="11"/>
  <c r="K104" i="11"/>
  <c r="L104" i="11"/>
  <c r="I417" i="11"/>
  <c r="H417" i="11"/>
  <c r="J417" i="11"/>
  <c r="K417" i="11"/>
  <c r="L417" i="11"/>
  <c r="I416" i="11"/>
  <c r="H416" i="11"/>
  <c r="J416" i="11"/>
  <c r="K416" i="11"/>
  <c r="L416" i="11"/>
  <c r="I410" i="11"/>
  <c r="H410" i="11"/>
  <c r="J410" i="11"/>
  <c r="K410" i="11"/>
  <c r="L410" i="11"/>
  <c r="I379" i="11"/>
  <c r="H379" i="11"/>
  <c r="J379" i="11"/>
  <c r="K379" i="11"/>
  <c r="L379" i="11"/>
  <c r="I380" i="11"/>
  <c r="H380" i="11"/>
  <c r="J380" i="11"/>
  <c r="K380" i="11"/>
  <c r="L380" i="11"/>
  <c r="I376" i="11"/>
  <c r="H376" i="11"/>
  <c r="J376" i="11"/>
  <c r="K376" i="11"/>
  <c r="L376" i="11"/>
  <c r="I309" i="11"/>
  <c r="H309" i="11"/>
  <c r="J309" i="11"/>
  <c r="K309" i="11"/>
  <c r="L309" i="11"/>
  <c r="I306" i="11"/>
  <c r="H306" i="11"/>
  <c r="J306" i="11"/>
  <c r="K306" i="11"/>
  <c r="L306" i="11"/>
  <c r="I301" i="11"/>
  <c r="H301" i="11"/>
  <c r="J301" i="11"/>
  <c r="K301" i="11"/>
  <c r="L301" i="11"/>
  <c r="I277" i="11"/>
  <c r="H277" i="11"/>
  <c r="J277" i="11"/>
  <c r="K277" i="11"/>
  <c r="L277" i="11"/>
  <c r="I263" i="11"/>
  <c r="H263" i="11"/>
  <c r="J263" i="11"/>
  <c r="K263" i="11"/>
  <c r="L263" i="11"/>
  <c r="I236" i="11"/>
  <c r="H236" i="11"/>
  <c r="J236" i="11"/>
  <c r="K236" i="11"/>
  <c r="L236" i="11"/>
  <c r="I202" i="11"/>
  <c r="H202" i="11"/>
  <c r="J202" i="11"/>
  <c r="K202" i="11"/>
  <c r="L202" i="11"/>
  <c r="I149" i="11"/>
  <c r="H149" i="11"/>
  <c r="J149" i="11"/>
  <c r="K149" i="11"/>
  <c r="L149" i="11"/>
  <c r="I143" i="11"/>
  <c r="H143" i="11"/>
  <c r="J143" i="11"/>
  <c r="K143" i="11"/>
  <c r="L143" i="11"/>
  <c r="I134" i="11"/>
  <c r="H134" i="11"/>
  <c r="J134" i="11"/>
  <c r="K134" i="11"/>
  <c r="L134" i="11"/>
  <c r="I114" i="11"/>
  <c r="H114" i="11"/>
  <c r="J114" i="11"/>
  <c r="K114" i="11"/>
  <c r="L114" i="11"/>
  <c r="I75" i="11"/>
  <c r="H75" i="11"/>
  <c r="J75" i="11"/>
  <c r="K75" i="11"/>
  <c r="L75" i="11"/>
  <c r="I70" i="11"/>
  <c r="H70" i="11"/>
  <c r="J70" i="11"/>
  <c r="K70" i="11"/>
  <c r="L70" i="11"/>
  <c r="I71" i="11"/>
  <c r="H71" i="11"/>
  <c r="J71" i="11"/>
  <c r="K71" i="11"/>
  <c r="L71" i="11"/>
  <c r="I35" i="11"/>
  <c r="H35" i="11"/>
  <c r="J35" i="11"/>
  <c r="K35" i="11"/>
  <c r="L35" i="11"/>
  <c r="J294" i="11"/>
  <c r="K294" i="11"/>
  <c r="L294" i="11"/>
  <c r="J289" i="11"/>
  <c r="K289" i="11"/>
  <c r="L289" i="11"/>
  <c r="J121" i="11"/>
  <c r="K121" i="11"/>
  <c r="L121" i="11"/>
  <c r="I338" i="11"/>
  <c r="J338" i="11"/>
  <c r="K338" i="11"/>
  <c r="L338" i="11"/>
  <c r="I328" i="11"/>
  <c r="J328" i="11"/>
  <c r="K328" i="11"/>
  <c r="L328" i="11"/>
  <c r="I284" i="11"/>
  <c r="J284" i="11"/>
  <c r="K284" i="11"/>
  <c r="L284" i="11"/>
  <c r="I172" i="11"/>
  <c r="J172" i="11"/>
  <c r="K172" i="11"/>
  <c r="L172" i="11"/>
  <c r="I131" i="11"/>
  <c r="J131" i="11"/>
  <c r="K131" i="11"/>
  <c r="L131" i="11"/>
  <c r="I94" i="11"/>
  <c r="J94" i="11"/>
  <c r="K94" i="11"/>
  <c r="L94" i="11"/>
  <c r="I337" i="11"/>
  <c r="H337" i="11"/>
  <c r="J337" i="11"/>
  <c r="K337" i="11"/>
  <c r="L337" i="11"/>
  <c r="I327" i="11"/>
  <c r="H327" i="11"/>
  <c r="J327" i="11"/>
  <c r="K327" i="11"/>
  <c r="L327" i="11"/>
  <c r="I283" i="11"/>
  <c r="H283" i="11"/>
  <c r="J283" i="11"/>
  <c r="K283" i="11"/>
  <c r="L283" i="11"/>
  <c r="I171" i="11"/>
  <c r="H171" i="11"/>
  <c r="J171" i="11"/>
  <c r="K171" i="11"/>
  <c r="L171" i="11"/>
  <c r="I130" i="11"/>
  <c r="H130" i="11"/>
  <c r="J130" i="11"/>
  <c r="K130" i="11"/>
  <c r="L130" i="11"/>
  <c r="I93" i="11"/>
  <c r="H93" i="11"/>
  <c r="J93" i="11"/>
  <c r="K93" i="11"/>
  <c r="L93" i="11"/>
  <c r="I319" i="11"/>
  <c r="J319" i="11"/>
  <c r="K319" i="11"/>
  <c r="L319" i="11"/>
  <c r="I117" i="11"/>
  <c r="J117" i="11"/>
  <c r="K117" i="11"/>
  <c r="L117" i="11"/>
  <c r="I223" i="11"/>
  <c r="H223" i="11"/>
  <c r="J223" i="11"/>
  <c r="K223" i="11"/>
  <c r="L223" i="11"/>
  <c r="I401" i="11"/>
  <c r="J401" i="11"/>
  <c r="K401" i="11"/>
  <c r="L401" i="11"/>
  <c r="I125" i="11"/>
  <c r="J125" i="11"/>
  <c r="K125" i="11"/>
  <c r="L125" i="11"/>
  <c r="I127" i="11"/>
  <c r="J127" i="11"/>
  <c r="K127" i="11"/>
  <c r="L127" i="11"/>
  <c r="I120" i="11"/>
  <c r="J120" i="11"/>
  <c r="K120" i="11"/>
  <c r="L120" i="11"/>
  <c r="I400" i="11"/>
  <c r="H400" i="11"/>
  <c r="J400" i="11"/>
  <c r="K400" i="11"/>
  <c r="L400" i="11"/>
  <c r="I124" i="11"/>
  <c r="J124" i="11"/>
  <c r="K124" i="11"/>
  <c r="L124" i="11"/>
  <c r="I126" i="11"/>
  <c r="H126" i="11"/>
  <c r="J126" i="11"/>
  <c r="K126" i="11"/>
  <c r="L126" i="11"/>
  <c r="I119" i="11"/>
  <c r="H119" i="11"/>
  <c r="J119" i="11"/>
  <c r="K119" i="11"/>
  <c r="L119" i="11"/>
  <c r="I123" i="11"/>
  <c r="H123" i="11"/>
  <c r="J123" i="11"/>
  <c r="K123" i="11"/>
  <c r="L123" i="11"/>
  <c r="I394" i="11"/>
  <c r="J394" i="11"/>
  <c r="K394" i="11"/>
  <c r="L394" i="11"/>
  <c r="I140" i="11"/>
  <c r="J140" i="11"/>
  <c r="K140" i="11"/>
  <c r="L140" i="11"/>
  <c r="I139" i="11"/>
  <c r="J139" i="11"/>
  <c r="K139" i="11"/>
  <c r="L139" i="11"/>
  <c r="I133" i="11"/>
  <c r="J133" i="11"/>
  <c r="K133" i="11"/>
  <c r="L133" i="11"/>
  <c r="D294" i="11"/>
  <c r="D289" i="11"/>
  <c r="D121" i="11"/>
  <c r="E294" i="11"/>
  <c r="E289" i="11"/>
  <c r="E121" i="11"/>
  <c r="E399" i="11"/>
  <c r="D399" i="11"/>
  <c r="E167" i="11"/>
  <c r="E145" i="11"/>
  <c r="E68" i="11"/>
  <c r="E89" i="11"/>
  <c r="E106" i="11"/>
  <c r="E136" i="11"/>
  <c r="E67" i="11"/>
  <c r="E237" i="11"/>
  <c r="E182" i="11"/>
  <c r="E20" i="11"/>
  <c r="E342" i="11"/>
  <c r="E98" i="11"/>
  <c r="E259" i="11"/>
  <c r="E241" i="11"/>
  <c r="E161" i="11"/>
  <c r="E153" i="11"/>
  <c r="E152" i="11"/>
  <c r="E258" i="11"/>
  <c r="E203" i="11"/>
  <c r="E190" i="11"/>
  <c r="E144" i="11"/>
  <c r="E279" i="11"/>
  <c r="E359" i="11"/>
  <c r="E313" i="11"/>
  <c r="E211" i="11"/>
  <c r="E62" i="11"/>
  <c r="E19" i="11"/>
  <c r="E358" i="11"/>
  <c r="E189" i="11"/>
  <c r="E423" i="11"/>
  <c r="E6" i="11"/>
  <c r="E405" i="11"/>
  <c r="E393" i="11"/>
  <c r="E312" i="11"/>
  <c r="E178" i="11"/>
  <c r="E166" i="11"/>
  <c r="E351" i="11"/>
  <c r="E350" i="11"/>
  <c r="E243" i="11"/>
  <c r="E296" i="11"/>
  <c r="E253" i="11"/>
  <c r="E118" i="11"/>
  <c r="E61" i="11"/>
  <c r="E285" i="11"/>
  <c r="E47" i="11"/>
  <c r="E381" i="11"/>
  <c r="E72" i="11"/>
  <c r="E181" i="11"/>
  <c r="E151" i="11"/>
  <c r="E66" i="11"/>
  <c r="E240" i="11"/>
  <c r="E357" i="11"/>
  <c r="E43" i="11"/>
  <c r="E341" i="11"/>
  <c r="E266" i="11"/>
  <c r="E228" i="11"/>
  <c r="E349" i="11"/>
  <c r="E188" i="11"/>
  <c r="E220" i="11"/>
  <c r="E418" i="11"/>
  <c r="E422" i="11"/>
  <c r="E265" i="11"/>
  <c r="E411" i="11"/>
  <c r="E150" i="11"/>
  <c r="E138" i="11"/>
  <c r="E388" i="11"/>
  <c r="E216" i="11"/>
  <c r="E51" i="11"/>
  <c r="E49" i="11"/>
  <c r="E278" i="11"/>
  <c r="E60" i="11"/>
  <c r="E58" i="11"/>
  <c r="E46" i="11"/>
  <c r="E348" i="11"/>
  <c r="E96" i="11"/>
  <c r="E156" i="11"/>
  <c r="E88" i="11"/>
  <c r="E270" i="11"/>
  <c r="E199" i="11"/>
  <c r="E387" i="11"/>
  <c r="E311" i="11"/>
  <c r="E84" i="11"/>
  <c r="E132" i="11"/>
  <c r="E5" i="11"/>
  <c r="E137" i="11"/>
  <c r="E165" i="11"/>
  <c r="E269" i="11"/>
  <c r="E252" i="11"/>
  <c r="E31" i="11"/>
  <c r="E105" i="11"/>
  <c r="E104" i="11"/>
  <c r="E322" i="11"/>
  <c r="E291" i="11"/>
  <c r="E343" i="11"/>
  <c r="E48" i="11"/>
  <c r="E264" i="11"/>
  <c r="E76" i="11"/>
  <c r="E364" i="11"/>
  <c r="E263" i="11"/>
  <c r="E143" i="11"/>
  <c r="E236" i="11"/>
  <c r="E202" i="11"/>
  <c r="E134" i="11"/>
  <c r="E71" i="11"/>
  <c r="E149" i="11"/>
  <c r="E417" i="11"/>
  <c r="E416" i="11"/>
  <c r="E380" i="11"/>
  <c r="E376" i="11"/>
  <c r="E379" i="11"/>
  <c r="E410" i="11"/>
  <c r="E309" i="11"/>
  <c r="E306" i="11"/>
  <c r="E301" i="11"/>
  <c r="E277" i="11"/>
  <c r="E114" i="11"/>
  <c r="E75" i="11"/>
  <c r="E70" i="11"/>
  <c r="E35" i="11"/>
  <c r="E215" i="11"/>
  <c r="E103" i="11"/>
  <c r="E386" i="11"/>
  <c r="E219" i="11"/>
  <c r="E409" i="11"/>
  <c r="E262" i="11"/>
  <c r="E246" i="11"/>
  <c r="E196" i="11"/>
  <c r="E22" i="11"/>
  <c r="E356" i="11"/>
  <c r="E102" i="11"/>
  <c r="E245" i="11"/>
  <c r="E392" i="11"/>
  <c r="E385" i="11"/>
  <c r="E57" i="11"/>
  <c r="E26" i="11"/>
  <c r="E3" i="11"/>
  <c r="E30" i="11"/>
  <c r="E283" i="11"/>
  <c r="E337" i="11"/>
  <c r="E327" i="11"/>
  <c r="E95" i="11"/>
  <c r="E368" i="11"/>
  <c r="E233" i="11"/>
  <c r="E93" i="11"/>
  <c r="E171" i="11"/>
  <c r="E130" i="11"/>
  <c r="E65" i="11"/>
  <c r="E117" i="11"/>
  <c r="E319" i="11"/>
  <c r="E226" i="11"/>
  <c r="E421" i="11"/>
  <c r="E367" i="11"/>
  <c r="E97" i="11"/>
  <c r="E142" i="11"/>
  <c r="E420" i="11"/>
  <c r="E50" i="11"/>
  <c r="E148" i="11"/>
  <c r="E310" i="11"/>
  <c r="E257" i="11"/>
  <c r="E224" i="11"/>
  <c r="E141" i="11"/>
  <c r="E8" i="11"/>
  <c r="E163" i="11"/>
  <c r="E87" i="11"/>
  <c r="E159" i="11"/>
  <c r="E42" i="11"/>
  <c r="E293" i="11"/>
  <c r="E239" i="11"/>
  <c r="E195" i="11"/>
  <c r="E210" i="11"/>
  <c r="E15" i="11"/>
  <c r="E18" i="11"/>
  <c r="E17" i="11"/>
  <c r="E402" i="11"/>
  <c r="E335" i="11"/>
  <c r="E206" i="11"/>
  <c r="E147" i="11"/>
  <c r="E324" i="11"/>
  <c r="E300" i="11"/>
  <c r="E299" i="11"/>
  <c r="E347" i="11"/>
  <c r="E355" i="11"/>
  <c r="E205" i="11"/>
  <c r="E346" i="11"/>
  <c r="E275" i="11"/>
  <c r="E86" i="11"/>
  <c r="E378" i="11"/>
  <c r="E274" i="11"/>
  <c r="E366" i="11"/>
  <c r="E292" i="11"/>
  <c r="E396" i="11"/>
  <c r="E82" i="11"/>
  <c r="E317" i="11"/>
  <c r="E326" i="11"/>
  <c r="E321" i="11"/>
  <c r="E287" i="11"/>
  <c r="E204" i="11"/>
  <c r="E24" i="11"/>
  <c r="E354" i="11"/>
  <c r="E282" i="11"/>
  <c r="E23" i="11"/>
  <c r="E334" i="11"/>
  <c r="E244" i="11"/>
  <c r="E298" i="11"/>
  <c r="E272" i="11"/>
  <c r="E255" i="11"/>
  <c r="E54" i="11"/>
  <c r="E29" i="11"/>
  <c r="E101" i="11"/>
  <c r="E304" i="11"/>
  <c r="E238" i="11"/>
  <c r="E170" i="11"/>
  <c r="E223" i="11"/>
  <c r="E391" i="11"/>
  <c r="E158" i="11"/>
  <c r="E200" i="11"/>
  <c r="E154" i="11"/>
  <c r="E146" i="11"/>
  <c r="E316" i="11"/>
  <c r="E222" i="11"/>
  <c r="E53" i="11"/>
  <c r="E303" i="11"/>
  <c r="E254" i="11"/>
  <c r="E395" i="11"/>
  <c r="E297" i="11"/>
  <c r="E414" i="11"/>
  <c r="E332" i="11"/>
  <c r="E390" i="11"/>
  <c r="E353" i="11"/>
  <c r="E40" i="11"/>
  <c r="E28" i="11"/>
  <c r="E198" i="11"/>
  <c r="E193" i="11"/>
  <c r="E39" i="11"/>
  <c r="E27" i="11"/>
  <c r="E14" i="11"/>
  <c r="E267" i="11"/>
  <c r="E389" i="11"/>
  <c r="E208" i="11"/>
  <c r="E175" i="11"/>
  <c r="E13" i="11"/>
  <c r="E4" i="11"/>
  <c r="E192" i="11"/>
  <c r="E45" i="11"/>
  <c r="E12" i="11"/>
  <c r="E44" i="11"/>
  <c r="E80" i="11"/>
  <c r="E85" i="11"/>
  <c r="E157" i="11"/>
  <c r="E79" i="11"/>
  <c r="E78" i="11"/>
  <c r="E64" i="11"/>
  <c r="E174" i="11"/>
  <c r="E37" i="11"/>
  <c r="E9" i="11"/>
  <c r="E400" i="11"/>
  <c r="E119" i="11"/>
  <c r="E126" i="11"/>
  <c r="E123" i="11"/>
  <c r="E398" i="11"/>
  <c r="E218" i="11"/>
  <c r="E221" i="11"/>
  <c r="E315" i="11"/>
  <c r="E302" i="11"/>
  <c r="E194" i="11"/>
  <c r="E168" i="11"/>
  <c r="E345" i="11"/>
  <c r="E100" i="11"/>
  <c r="E217" i="11"/>
  <c r="E281" i="11"/>
  <c r="E329" i="11"/>
  <c r="E90" i="11"/>
  <c r="E133" i="11"/>
  <c r="E140" i="11"/>
  <c r="E394" i="11"/>
  <c r="E139" i="11"/>
  <c r="E249" i="11"/>
  <c r="E271" i="11"/>
  <c r="E212" i="11"/>
  <c r="E69" i="11"/>
  <c r="E280" i="11"/>
  <c r="E403" i="11"/>
  <c r="E235" i="11"/>
  <c r="E242" i="11"/>
  <c r="E183" i="11"/>
  <c r="E63" i="11"/>
  <c r="E314" i="11"/>
  <c r="E116" i="11"/>
  <c r="E344" i="11"/>
  <c r="E407" i="11"/>
  <c r="E107" i="11"/>
  <c r="E360" i="11"/>
  <c r="E419" i="11"/>
  <c r="E413" i="11"/>
  <c r="E408" i="11"/>
  <c r="E406" i="11"/>
  <c r="E404" i="11"/>
  <c r="E397" i="11"/>
  <c r="E384" i="11"/>
  <c r="E383" i="11"/>
  <c r="E382" i="11"/>
  <c r="E377" i="11"/>
  <c r="E375" i="11"/>
  <c r="E374" i="11"/>
  <c r="E373" i="11"/>
  <c r="E372" i="11"/>
  <c r="E371" i="11"/>
  <c r="E370" i="11"/>
  <c r="E369" i="11"/>
  <c r="E365" i="11"/>
  <c r="E363" i="11"/>
  <c r="E362" i="11"/>
  <c r="E361" i="11"/>
  <c r="E340" i="11"/>
  <c r="E336" i="11"/>
  <c r="E333" i="11"/>
  <c r="E331" i="11"/>
  <c r="E330" i="11"/>
  <c r="E325" i="11"/>
  <c r="E323" i="11"/>
  <c r="E320" i="11"/>
  <c r="E318" i="11"/>
  <c r="E308" i="11"/>
  <c r="E307" i="11"/>
  <c r="E305" i="11"/>
  <c r="E295" i="11"/>
  <c r="E290" i="11"/>
  <c r="E288" i="11"/>
  <c r="E286" i="11"/>
  <c r="E276" i="11"/>
  <c r="E273" i="11"/>
  <c r="E268" i="11"/>
  <c r="E261" i="11"/>
  <c r="E260" i="11"/>
  <c r="E256" i="11"/>
  <c r="E251" i="11"/>
  <c r="E250" i="11"/>
  <c r="E248" i="11"/>
  <c r="E247" i="11"/>
  <c r="E234" i="11"/>
  <c r="E232" i="11"/>
  <c r="E231" i="11"/>
  <c r="E230" i="11"/>
  <c r="E229" i="11"/>
  <c r="E227" i="11"/>
  <c r="E225" i="11"/>
  <c r="E214" i="11"/>
  <c r="E213" i="11"/>
  <c r="E209" i="11"/>
  <c r="E207" i="11"/>
  <c r="E201" i="11"/>
  <c r="E197" i="11"/>
  <c r="E191" i="11"/>
  <c r="E185" i="11"/>
  <c r="E184" i="11"/>
  <c r="E180" i="11"/>
  <c r="E179" i="11"/>
  <c r="E177" i="11"/>
  <c r="E176" i="11"/>
  <c r="E173" i="11"/>
  <c r="E169" i="11"/>
  <c r="E164" i="11"/>
  <c r="E162" i="11"/>
  <c r="E160" i="11"/>
  <c r="E155" i="11"/>
  <c r="E135" i="11"/>
  <c r="E129" i="11"/>
  <c r="E128" i="11"/>
  <c r="E122" i="11"/>
  <c r="E115" i="11"/>
  <c r="E113" i="11"/>
  <c r="E112" i="11"/>
  <c r="E111" i="11"/>
  <c r="E110" i="11"/>
  <c r="E109" i="11"/>
  <c r="E108" i="11"/>
  <c r="E99" i="11"/>
  <c r="E92" i="11"/>
  <c r="E91" i="11"/>
  <c r="E83" i="11"/>
  <c r="E81" i="11"/>
  <c r="E77" i="11"/>
  <c r="E74" i="11"/>
  <c r="E73" i="11"/>
  <c r="E59" i="11"/>
  <c r="E56" i="11"/>
  <c r="E55" i="11"/>
  <c r="E52" i="11"/>
  <c r="E41" i="11"/>
  <c r="E38" i="11"/>
  <c r="E36" i="11"/>
  <c r="E34" i="11"/>
  <c r="E33" i="11"/>
  <c r="E32" i="11"/>
  <c r="E25" i="11"/>
  <c r="E21" i="11"/>
  <c r="E16" i="11"/>
  <c r="E11" i="11"/>
  <c r="E10" i="11"/>
  <c r="E7" i="11"/>
  <c r="E2" i="11"/>
  <c r="E415" i="11"/>
  <c r="E412" i="11"/>
  <c r="E352" i="11"/>
  <c r="E339" i="11"/>
  <c r="E187" i="11"/>
  <c r="E186" i="11"/>
  <c r="D5" i="11"/>
  <c r="D423" i="11"/>
  <c r="D422" i="11"/>
  <c r="D421" i="11"/>
  <c r="D420" i="11"/>
  <c r="D419" i="11"/>
  <c r="D418" i="11"/>
  <c r="D417" i="11"/>
  <c r="D416" i="11"/>
  <c r="D415" i="11"/>
  <c r="D414" i="11"/>
  <c r="D413" i="11"/>
  <c r="D412" i="11"/>
  <c r="D411" i="11"/>
  <c r="D410" i="11"/>
  <c r="D409" i="11"/>
  <c r="D408" i="11"/>
  <c r="D407" i="11"/>
  <c r="D406" i="11"/>
  <c r="D405" i="11"/>
  <c r="D404" i="11"/>
  <c r="D403" i="11"/>
  <c r="D402" i="11"/>
  <c r="D400" i="11"/>
  <c r="D398" i="11"/>
  <c r="D397" i="11"/>
  <c r="D396" i="11"/>
  <c r="D395" i="11"/>
  <c r="D394" i="11"/>
  <c r="D393" i="11"/>
  <c r="D392" i="11"/>
  <c r="D391" i="11"/>
  <c r="D390" i="11"/>
  <c r="D389" i="11"/>
  <c r="D388" i="11"/>
  <c r="D387" i="11"/>
  <c r="D386" i="11"/>
  <c r="D385" i="11"/>
  <c r="D384" i="11"/>
  <c r="D383" i="11"/>
  <c r="D382" i="11"/>
  <c r="D381" i="11"/>
  <c r="D379" i="11"/>
  <c r="D380"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7" i="11"/>
  <c r="D336" i="11"/>
  <c r="D335" i="11"/>
  <c r="D334" i="11"/>
  <c r="D333" i="11"/>
  <c r="D332" i="11"/>
  <c r="D331" i="11"/>
  <c r="D330" i="11"/>
  <c r="D329"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3" i="11"/>
  <c r="D292" i="11"/>
  <c r="D291" i="11"/>
  <c r="D290" i="11"/>
  <c r="D288" i="11"/>
  <c r="D287" i="11"/>
  <c r="D286" i="11"/>
  <c r="D285" i="11"/>
  <c r="D283" i="11"/>
  <c r="D282" i="11"/>
  <c r="D281" i="11"/>
  <c r="D280" i="11"/>
  <c r="D278" i="11"/>
  <c r="D279" i="11"/>
  <c r="D277" i="11"/>
  <c r="D276" i="11"/>
  <c r="D275" i="11"/>
  <c r="D274" i="11"/>
  <c r="D273" i="11"/>
  <c r="D272" i="11"/>
  <c r="D271" i="11"/>
  <c r="D270" i="11"/>
  <c r="D269" i="11"/>
  <c r="D268" i="11"/>
  <c r="D267" i="11"/>
  <c r="D266" i="11"/>
  <c r="D265" i="11"/>
  <c r="D264" i="11"/>
  <c r="D263" i="11"/>
  <c r="D262" i="11"/>
  <c r="D261" i="11"/>
  <c r="D260" i="11"/>
  <c r="D259" i="11"/>
  <c r="D258" i="11"/>
  <c r="D257" i="11"/>
  <c r="D256" i="11"/>
  <c r="D255" i="11"/>
  <c r="D254" i="11"/>
  <c r="D253" i="11"/>
  <c r="D252" i="11"/>
  <c r="D251" i="11"/>
  <c r="D250" i="11"/>
  <c r="D249" i="11"/>
  <c r="D248" i="11"/>
  <c r="D247" i="11"/>
  <c r="D246" i="11"/>
  <c r="D245" i="11"/>
  <c r="D244" i="11"/>
  <c r="D243" i="11"/>
  <c r="D242" i="11"/>
  <c r="D241" i="11"/>
  <c r="D240" i="11"/>
  <c r="D239" i="11"/>
  <c r="D238" i="11"/>
  <c r="D237" i="11"/>
  <c r="D236" i="11"/>
  <c r="D235" i="11"/>
  <c r="D234" i="11"/>
  <c r="D233" i="11"/>
  <c r="D232" i="11"/>
  <c r="D231" i="11"/>
  <c r="D230" i="11"/>
  <c r="D229" i="11"/>
  <c r="D228" i="11"/>
  <c r="D227" i="11"/>
  <c r="D226" i="11"/>
  <c r="D225" i="11"/>
  <c r="D224" i="11"/>
  <c r="D223" i="11"/>
  <c r="D222" i="11"/>
  <c r="D221" i="11"/>
  <c r="D220" i="11"/>
  <c r="D219" i="11"/>
  <c r="D218" i="11"/>
  <c r="D217" i="11"/>
  <c r="D216" i="11"/>
  <c r="D215" i="11"/>
  <c r="D214" i="11"/>
  <c r="D213" i="11"/>
  <c r="D212" i="11"/>
  <c r="D211" i="11"/>
  <c r="D210" i="11"/>
  <c r="D209" i="11"/>
  <c r="D208" i="11"/>
  <c r="D207" i="11"/>
  <c r="D206" i="11"/>
  <c r="D205" i="11"/>
  <c r="D204" i="11"/>
  <c r="D203" i="11"/>
  <c r="D202" i="11"/>
  <c r="D201" i="11"/>
  <c r="D200" i="11"/>
  <c r="D199" i="11"/>
  <c r="D198" i="11"/>
  <c r="D197" i="11"/>
  <c r="D196" i="11"/>
  <c r="D195" i="11"/>
  <c r="D194" i="11"/>
  <c r="D193" i="11"/>
  <c r="D192" i="11"/>
  <c r="D191" i="11"/>
  <c r="D190" i="11"/>
  <c r="D189" i="11"/>
  <c r="D188" i="11"/>
  <c r="D187" i="11"/>
  <c r="D186" i="11"/>
  <c r="D185" i="11"/>
  <c r="D184" i="11"/>
  <c r="D183" i="11"/>
  <c r="D182" i="11"/>
  <c r="D181" i="11"/>
  <c r="D180" i="11"/>
  <c r="D179" i="11"/>
  <c r="D178" i="11"/>
  <c r="D177" i="11"/>
  <c r="D176" i="11"/>
  <c r="D175" i="11"/>
  <c r="D174" i="11"/>
  <c r="D173" i="11"/>
  <c r="D171" i="11"/>
  <c r="D170" i="11"/>
  <c r="D169" i="11"/>
  <c r="D168" i="11"/>
  <c r="D167" i="11"/>
  <c r="D166" i="11"/>
  <c r="D165" i="11"/>
  <c r="D164" i="11"/>
  <c r="D163" i="11"/>
  <c r="D162" i="11"/>
  <c r="D161" i="11"/>
  <c r="D160" i="11"/>
  <c r="D159" i="11"/>
  <c r="D158" i="11"/>
  <c r="D157" i="11"/>
  <c r="D156" i="11"/>
  <c r="D155" i="11"/>
  <c r="D154" i="11"/>
  <c r="D153" i="11"/>
  <c r="D151" i="11"/>
  <c r="D150" i="11"/>
  <c r="D149" i="11"/>
  <c r="D152" i="11"/>
  <c r="D148" i="11"/>
  <c r="D147" i="11"/>
  <c r="D146" i="11"/>
  <c r="D145" i="11"/>
  <c r="D144" i="11"/>
  <c r="D143" i="11"/>
  <c r="D142" i="11"/>
  <c r="D141" i="11"/>
  <c r="D140" i="11"/>
  <c r="D139" i="11"/>
  <c r="D138" i="11"/>
  <c r="D137" i="11"/>
  <c r="D136" i="11"/>
  <c r="D135" i="11"/>
  <c r="D134" i="11"/>
  <c r="D133" i="11"/>
  <c r="D132" i="11"/>
  <c r="D130" i="11"/>
  <c r="D129" i="11"/>
  <c r="D128" i="11"/>
  <c r="D126" i="11"/>
  <c r="D123" i="11"/>
  <c r="D122" i="11"/>
  <c r="D119" i="11"/>
  <c r="D118" i="11"/>
  <c r="D117" i="11"/>
  <c r="D116" i="11"/>
  <c r="D115" i="11"/>
  <c r="D114" i="11"/>
  <c r="D113" i="11"/>
  <c r="D112" i="11"/>
  <c r="D111" i="11"/>
  <c r="D110" i="11"/>
  <c r="D109" i="11"/>
  <c r="D108" i="11"/>
  <c r="D107" i="11"/>
  <c r="D106" i="11"/>
  <c r="D105" i="11"/>
  <c r="D104" i="11"/>
  <c r="D103" i="11"/>
  <c r="D102" i="11"/>
  <c r="D101" i="11"/>
  <c r="D100" i="11"/>
  <c r="D99" i="11"/>
  <c r="D98" i="11"/>
  <c r="D97" i="11"/>
  <c r="D96" i="11"/>
  <c r="D95" i="11"/>
  <c r="D93" i="11"/>
  <c r="D92" i="11"/>
  <c r="D91" i="11"/>
  <c r="D90" i="11"/>
  <c r="D89" i="11"/>
  <c r="D88" i="11"/>
  <c r="D87" i="11"/>
  <c r="D86" i="11"/>
  <c r="D85" i="11"/>
  <c r="D84" i="11"/>
  <c r="D83" i="11"/>
  <c r="D82" i="11"/>
  <c r="D81" i="11"/>
  <c r="D80" i="11"/>
  <c r="D79" i="11"/>
  <c r="D78" i="11"/>
  <c r="D77" i="11"/>
  <c r="D76" i="11"/>
  <c r="D75" i="11"/>
  <c r="D74" i="11"/>
  <c r="D73" i="11"/>
  <c r="D72" i="11"/>
  <c r="D70" i="11"/>
  <c r="D71" i="11"/>
  <c r="D69" i="11"/>
  <c r="D68" i="11"/>
  <c r="D67" i="11"/>
  <c r="D66" i="11"/>
  <c r="D65" i="11"/>
  <c r="D64" i="11"/>
  <c r="D63" i="11"/>
  <c r="D62" i="11"/>
  <c r="D61" i="11"/>
  <c r="D60" i="11"/>
  <c r="D59" i="11"/>
  <c r="D58" i="11"/>
  <c r="D57" i="11"/>
  <c r="D56" i="11"/>
  <c r="D55" i="11"/>
  <c r="D54" i="11"/>
  <c r="D53" i="11"/>
  <c r="D52" i="11"/>
  <c r="D51" i="11"/>
  <c r="D50" i="11"/>
  <c r="D49" i="11"/>
  <c r="D48" i="11"/>
  <c r="D47" i="11"/>
  <c r="D46" i="11"/>
  <c r="D45" i="11"/>
  <c r="D44" i="11"/>
  <c r="D43" i="11"/>
  <c r="D42" i="11"/>
  <c r="D41" i="11"/>
  <c r="D40" i="11"/>
  <c r="D39" i="11"/>
  <c r="D38" i="11"/>
  <c r="D37" i="11"/>
  <c r="D36" i="11"/>
  <c r="D35" i="11"/>
  <c r="D34" i="11"/>
  <c r="D33" i="11"/>
  <c r="D32" i="11"/>
  <c r="D31" i="11"/>
  <c r="D30" i="11"/>
  <c r="D29" i="11"/>
  <c r="D28" i="11"/>
  <c r="D27" i="11"/>
  <c r="D26" i="11"/>
  <c r="D25" i="11"/>
  <c r="D24" i="11"/>
  <c r="D23" i="11"/>
  <c r="D22" i="11"/>
  <c r="D21" i="11"/>
  <c r="D20" i="11"/>
  <c r="D19" i="11"/>
  <c r="D18" i="11"/>
  <c r="D17" i="11"/>
  <c r="D16" i="11"/>
  <c r="D15" i="11"/>
  <c r="D14" i="11"/>
  <c r="D13" i="11"/>
  <c r="D12" i="11"/>
  <c r="D11" i="11"/>
  <c r="D10" i="11"/>
  <c r="D9" i="11"/>
  <c r="D8" i="11"/>
  <c r="D7" i="11"/>
  <c r="D6" i="11"/>
  <c r="D4" i="11"/>
  <c r="D3" i="11"/>
  <c r="D2" i="11"/>
  <c r="F49" i="7"/>
  <c r="F69" i="7"/>
  <c r="F36" i="7"/>
  <c r="F34" i="7"/>
  <c r="F76" i="7"/>
  <c r="F73" i="7"/>
  <c r="F48" i="7"/>
  <c r="F25" i="7"/>
  <c r="F72" i="7"/>
  <c r="F71" i="7"/>
  <c r="F70" i="7"/>
  <c r="F24" i="7"/>
  <c r="F47" i="7"/>
  <c r="F77" i="7"/>
  <c r="F46" i="7"/>
  <c r="F45" i="7"/>
  <c r="F44" i="7"/>
  <c r="F68" i="7"/>
  <c r="F23" i="7"/>
  <c r="F67" i="7"/>
  <c r="F66" i="7"/>
  <c r="F43" i="7"/>
  <c r="F65" i="7"/>
  <c r="F22" i="7"/>
  <c r="F64" i="7"/>
  <c r="F42" i="7"/>
  <c r="F41" i="7"/>
  <c r="F21" i="7"/>
  <c r="F40" i="7"/>
  <c r="F39" i="7"/>
  <c r="F38" i="7"/>
  <c r="F20" i="7"/>
  <c r="F37" i="7"/>
  <c r="F19" i="7"/>
  <c r="F63" i="7"/>
  <c r="F18" i="7"/>
  <c r="F17" i="7"/>
  <c r="F16" i="7"/>
  <c r="F35" i="7"/>
  <c r="F15" i="7"/>
  <c r="F62" i="7"/>
  <c r="F33" i="7"/>
  <c r="F14" i="7"/>
  <c r="F13" i="7"/>
  <c r="F61" i="7"/>
  <c r="F32" i="7"/>
  <c r="F60" i="7"/>
  <c r="F12" i="7"/>
  <c r="F11" i="7"/>
  <c r="F59" i="7"/>
  <c r="F10" i="7"/>
  <c r="F31" i="7"/>
  <c r="F82" i="7"/>
  <c r="F79" i="7"/>
  <c r="F58" i="7"/>
  <c r="F57" i="7"/>
  <c r="F56" i="7"/>
  <c r="F30" i="7"/>
  <c r="F9" i="7"/>
  <c r="F80" i="7"/>
  <c r="F55" i="7"/>
  <c r="F78" i="7"/>
  <c r="F29" i="7"/>
  <c r="F28" i="7"/>
  <c r="F8" i="7"/>
  <c r="F7" i="7"/>
  <c r="F54" i="7"/>
  <c r="F53" i="7"/>
  <c r="F52" i="7"/>
  <c r="F51" i="7"/>
  <c r="F6" i="7"/>
  <c r="F5" i="7"/>
  <c r="F27" i="7"/>
  <c r="F4" i="7"/>
  <c r="F3" i="7"/>
  <c r="F26" i="7"/>
  <c r="F2" i="7"/>
  <c r="F50" i="7"/>
  <c r="F103" i="7"/>
  <c r="F102" i="7"/>
  <c r="F101" i="7"/>
  <c r="F100" i="7"/>
  <c r="F99" i="7"/>
  <c r="F98" i="7"/>
  <c r="F97" i="7"/>
  <c r="F96" i="7"/>
  <c r="F95" i="7"/>
  <c r="F94" i="7"/>
  <c r="F93" i="7"/>
  <c r="F92" i="7"/>
  <c r="F91" i="7"/>
  <c r="F90" i="7"/>
  <c r="F89" i="7"/>
  <c r="F88" i="7"/>
  <c r="F87" i="7"/>
  <c r="F86" i="7"/>
  <c r="F85" i="7"/>
  <c r="F84" i="7"/>
  <c r="F83" i="7"/>
  <c r="F81" i="7"/>
</calcChain>
</file>

<file path=xl/comments1.xml><?xml version="1.0" encoding="utf-8"?>
<comments xmlns="http://schemas.openxmlformats.org/spreadsheetml/2006/main">
  <authors>
    <author>Kaspars Berzins</author>
  </authors>
  <commentList>
    <comment ref="F1" authorId="0">
      <text>
        <r>
          <rPr>
            <b/>
            <sz val="9"/>
            <color indexed="81"/>
            <rFont val="Calibri"/>
            <family val="2"/>
          </rPr>
          <t>Kaspars Berzins:</t>
        </r>
        <r>
          <rPr>
            <sz val="9"/>
            <color indexed="81"/>
            <rFont val="Calibri"/>
            <family val="2"/>
          </rPr>
          <t xml:space="preserve">
1. "_university" at the end --&gt; "*"
2. "_college" at the end --&gt; "*"
3. begins with "University of" --&gt; "Univ*"
4. begins with "College of" --&gt; "coll*"
5. contains "," --&gt; separate it as the city
6. apply on 5: "_university" at the end --&gt; "univ*"
0. No changes
GREEN - alternative name
BLUE, RED, YELLOW: edited name</t>
        </r>
      </text>
    </comment>
  </commentList>
</comments>
</file>

<file path=xl/sharedStrings.xml><?xml version="1.0" encoding="utf-8"?>
<sst xmlns="http://schemas.openxmlformats.org/spreadsheetml/2006/main" count="4233" uniqueCount="1187">
  <si>
    <t>Password</t>
  </si>
  <si>
    <t>IsInZip</t>
  </si>
  <si>
    <t>CVavailable</t>
  </si>
  <si>
    <t>Thompson</t>
  </si>
  <si>
    <t>Rogers</t>
  </si>
  <si>
    <t>Paul</t>
  </si>
  <si>
    <t>Jones</t>
  </si>
  <si>
    <t>Robert</t>
  </si>
  <si>
    <t>Ethan</t>
  </si>
  <si>
    <t>Stephen</t>
  </si>
  <si>
    <t>George</t>
  </si>
  <si>
    <t>David</t>
  </si>
  <si>
    <t>Arizona State University</t>
  </si>
  <si>
    <t>Wilson</t>
  </si>
  <si>
    <t>Sharon</t>
  </si>
  <si>
    <t>Hall</t>
  </si>
  <si>
    <t>Johnson</t>
  </si>
  <si>
    <t>Bates College</t>
  </si>
  <si>
    <t>Laura</t>
  </si>
  <si>
    <t>Michael</t>
  </si>
  <si>
    <t>Lin</t>
  </si>
  <si>
    <t>Boise State University</t>
  </si>
  <si>
    <t>Margaret</t>
  </si>
  <si>
    <t>Smith</t>
  </si>
  <si>
    <t>William</t>
  </si>
  <si>
    <t>Lisa</t>
  </si>
  <si>
    <t>John</t>
  </si>
  <si>
    <t>Anderson</t>
  </si>
  <si>
    <t>Bowling Green State University</t>
  </si>
  <si>
    <t>Weidong Yang</t>
  </si>
  <si>
    <t>Weidong</t>
  </si>
  <si>
    <t>Yang</t>
  </si>
  <si>
    <t>Tuhao John Chen</t>
  </si>
  <si>
    <t>Tuhao</t>
  </si>
  <si>
    <t>Chen</t>
  </si>
  <si>
    <t>Taylor</t>
  </si>
  <si>
    <t>Brigham Young University</t>
  </si>
  <si>
    <t>Steven</t>
  </si>
  <si>
    <t>Brown University</t>
  </si>
  <si>
    <t>Bryn Mawr College</t>
  </si>
  <si>
    <t>Tamara L. Davis</t>
  </si>
  <si>
    <t>Tamara</t>
  </si>
  <si>
    <t>Davis</t>
  </si>
  <si>
    <t>Cheng</t>
  </si>
  <si>
    <t>Adams</t>
  </si>
  <si>
    <t>Thomas</t>
  </si>
  <si>
    <t>Mark</t>
  </si>
  <si>
    <t>Linda</t>
  </si>
  <si>
    <t>California State University - Fullerton</t>
  </si>
  <si>
    <t>Melanie</t>
  </si>
  <si>
    <t>Li</t>
  </si>
  <si>
    <t>Kim</t>
  </si>
  <si>
    <t>Uksun Kim</t>
  </si>
  <si>
    <t>Uksun</t>
  </si>
  <si>
    <t>Henry</t>
  </si>
  <si>
    <t>Roger</t>
  </si>
  <si>
    <t>Xin</t>
  </si>
  <si>
    <t>James</t>
  </si>
  <si>
    <t>California State University - Sacramento</t>
  </si>
  <si>
    <t>Lisa Taylor</t>
  </si>
  <si>
    <t>Daniel</t>
  </si>
  <si>
    <t>Wood</t>
  </si>
  <si>
    <t>Case Western Reserve University</t>
  </si>
  <si>
    <t>Zeng</t>
  </si>
  <si>
    <t>Central Michigan University</t>
  </si>
  <si>
    <t>Charles</t>
  </si>
  <si>
    <t>Clark Atlanta University</t>
  </si>
  <si>
    <t>Timothy O. Moore</t>
  </si>
  <si>
    <t>Timothy</t>
  </si>
  <si>
    <t>Moore</t>
  </si>
  <si>
    <t>Joyce</t>
  </si>
  <si>
    <t>Cleveland State University</t>
  </si>
  <si>
    <t>College of Saint Benedict</t>
  </si>
  <si>
    <t>Ann</t>
  </si>
  <si>
    <t>Andrew</t>
  </si>
  <si>
    <t>Catherine</t>
  </si>
  <si>
    <t>College of William and Mary</t>
  </si>
  <si>
    <t>Colorado College</t>
  </si>
  <si>
    <t>Andrea Bruder</t>
  </si>
  <si>
    <t>Andrea</t>
  </si>
  <si>
    <t>Bruder</t>
  </si>
  <si>
    <t>Colorado State University</t>
  </si>
  <si>
    <t>Columbia University in the City of New York</t>
  </si>
  <si>
    <t>Lan-Hsuan Huang</t>
  </si>
  <si>
    <t>Lan-Hsuan</t>
  </si>
  <si>
    <t>Huang</t>
  </si>
  <si>
    <t>Coppin State University</t>
  </si>
  <si>
    <t>Tatiana Roth</t>
  </si>
  <si>
    <t>Tatiana</t>
  </si>
  <si>
    <t>Roth</t>
  </si>
  <si>
    <t>Atma R. Sahu</t>
  </si>
  <si>
    <t>Atma</t>
  </si>
  <si>
    <t>Sahu</t>
  </si>
  <si>
    <t>A</t>
  </si>
  <si>
    <t>Cornell University</t>
  </si>
  <si>
    <t>Ruth Richardson</t>
  </si>
  <si>
    <t>Ruth</t>
  </si>
  <si>
    <t>Richardson</t>
  </si>
  <si>
    <t>Edward</t>
  </si>
  <si>
    <t>CUNY College of Staten Island</t>
  </si>
  <si>
    <t>Syed</t>
  </si>
  <si>
    <t>Xin (Jessica) Jiang</t>
  </si>
  <si>
    <t>Jiang</t>
  </si>
  <si>
    <t>Dartmouth College</t>
  </si>
  <si>
    <t>Delaware State University</t>
  </si>
  <si>
    <t>Leonard G. Davis</t>
  </si>
  <si>
    <t>Leonard</t>
  </si>
  <si>
    <t>Duke University</t>
  </si>
  <si>
    <t>East Carolina University</t>
  </si>
  <si>
    <t>Evelyn Brown</t>
  </si>
  <si>
    <t>Evelyn</t>
  </si>
  <si>
    <t>Brown</t>
  </si>
  <si>
    <t>Young</t>
  </si>
  <si>
    <t>Fairfield University</t>
  </si>
  <si>
    <t>E. Vagos Hadjimichael</t>
  </si>
  <si>
    <t>Hadjimichael</t>
  </si>
  <si>
    <t>Fayetteville State University</t>
  </si>
  <si>
    <t>Sherrice V. Allen</t>
  </si>
  <si>
    <t>Sherrice</t>
  </si>
  <si>
    <t>Allen</t>
  </si>
  <si>
    <t>Frank</t>
  </si>
  <si>
    <t>Fisk University</t>
  </si>
  <si>
    <t>Florida Agricultural and Mechanical University</t>
  </si>
  <si>
    <t>Florida Atlantic University</t>
  </si>
  <si>
    <t>Cyril Parkanyi</t>
  </si>
  <si>
    <t>Cyril</t>
  </si>
  <si>
    <t>Parkanyi</t>
  </si>
  <si>
    <t>D. V. Reddy</t>
  </si>
  <si>
    <t>Reddy</t>
  </si>
  <si>
    <t>Wang</t>
  </si>
  <si>
    <t>Florida State University</t>
  </si>
  <si>
    <t>Julia</t>
  </si>
  <si>
    <t>Fordham University</t>
  </si>
  <si>
    <t>George Washington University</t>
  </si>
  <si>
    <t>Casonya Johnson</t>
  </si>
  <si>
    <t>Casonya</t>
  </si>
  <si>
    <t>Georgia State University</t>
  </si>
  <si>
    <t>Williams</t>
  </si>
  <si>
    <t>Harvard University</t>
  </si>
  <si>
    <t>Howard University</t>
  </si>
  <si>
    <t>Frank Ampy</t>
  </si>
  <si>
    <t>Ampy</t>
  </si>
  <si>
    <t>Daniel Williams</t>
  </si>
  <si>
    <t>Charles F. Rick Williams</t>
  </si>
  <si>
    <t>Idaho State University</t>
  </si>
  <si>
    <t>Chunbo Zhang</t>
  </si>
  <si>
    <t>Chunbo</t>
  </si>
  <si>
    <t>Zhang</t>
  </si>
  <si>
    <t>Illinois Institute of Technology</t>
  </si>
  <si>
    <t>Paul R. Anderson</t>
  </si>
  <si>
    <t>Illinois State University</t>
  </si>
  <si>
    <t>Cynthia</t>
  </si>
  <si>
    <t>Zhu</t>
  </si>
  <si>
    <t>Martin</t>
  </si>
  <si>
    <t>Iowa State University</t>
  </si>
  <si>
    <t>Kejin Wang</t>
  </si>
  <si>
    <t>Kejin</t>
  </si>
  <si>
    <t>Yan</t>
  </si>
  <si>
    <t>Jackson State University</t>
  </si>
  <si>
    <t>Danuta Leszczynska</t>
  </si>
  <si>
    <t>Danuta</t>
  </si>
  <si>
    <t>Leszczynska</t>
  </si>
  <si>
    <t>Johns Hopkins University</t>
  </si>
  <si>
    <t>Kansas State University</t>
  </si>
  <si>
    <t>Lane College</t>
  </si>
  <si>
    <t>Larry Thompson</t>
  </si>
  <si>
    <t>Larry</t>
  </si>
  <si>
    <t>Patrick</t>
  </si>
  <si>
    <t>Macalester College</t>
  </si>
  <si>
    <t>Kristi Curry Rogers</t>
  </si>
  <si>
    <t>Kristi</t>
  </si>
  <si>
    <t>Manhattan College</t>
  </si>
  <si>
    <t>Massachusetts Institute of Technology</t>
  </si>
  <si>
    <t>Steven Kleiman</t>
  </si>
  <si>
    <t>Kleiman</t>
  </si>
  <si>
    <t>Diane</t>
  </si>
  <si>
    <t>Michigan Technological University</t>
  </si>
  <si>
    <t>Morehouse College</t>
  </si>
  <si>
    <t>Gerald</t>
  </si>
  <si>
    <t>Jessica</t>
  </si>
  <si>
    <t>Julia Chang</t>
  </si>
  <si>
    <t>Chang</t>
  </si>
  <si>
    <t>Mount St. Mary's College</t>
  </si>
  <si>
    <t>Murray State University</t>
  </si>
  <si>
    <t>Stephen B. White,</t>
  </si>
  <si>
    <t>White</t>
  </si>
  <si>
    <t>New Mexico Institute of Mining and Technology</t>
  </si>
  <si>
    <t>Frank Y.C. Huang</t>
  </si>
  <si>
    <t>New York University</t>
  </si>
  <si>
    <t>North Carolina A &amp; T State University</t>
  </si>
  <si>
    <t>North Carolina State University</t>
  </si>
  <si>
    <t>Xu</t>
  </si>
  <si>
    <t>Gilbert</t>
  </si>
  <si>
    <t>Northwestern University</t>
  </si>
  <si>
    <t>Oakland University</t>
  </si>
  <si>
    <t>Lan Jiang</t>
  </si>
  <si>
    <t>Lan</t>
  </si>
  <si>
    <t>Ohio State University</t>
  </si>
  <si>
    <t>Oklahoma State University</t>
  </si>
  <si>
    <t>Oregon State University</t>
  </si>
  <si>
    <t>Princeton University</t>
  </si>
  <si>
    <t>Purdue University</t>
  </si>
  <si>
    <t>Reed College</t>
  </si>
  <si>
    <t>Albyn Jones</t>
  </si>
  <si>
    <t>Albyn</t>
  </si>
  <si>
    <t>Rensselaer Polytechnic Institute</t>
  </si>
  <si>
    <t>William A. Wallace</t>
  </si>
  <si>
    <t>Wallace</t>
  </si>
  <si>
    <t>Rice University</t>
  </si>
  <si>
    <t>Rowan University</t>
  </si>
  <si>
    <t>Xiaoming Zeng</t>
  </si>
  <si>
    <t>Xiaoming</t>
  </si>
  <si>
    <t>Saint Louis University-Main Campus</t>
  </si>
  <si>
    <t>Yuqi Wang</t>
  </si>
  <si>
    <t>Yuqi</t>
  </si>
  <si>
    <t>San Diego State University</t>
  </si>
  <si>
    <t>TODD ANDERSON</t>
  </si>
  <si>
    <t>Santa Clara University</t>
  </si>
  <si>
    <t>John C.  Gilbert</t>
  </si>
  <si>
    <t>Smith College</t>
  </si>
  <si>
    <t>Southern Illinois University Carbondale</t>
  </si>
  <si>
    <t>Dashun Xu</t>
  </si>
  <si>
    <t>Dashun</t>
  </si>
  <si>
    <t>Southern Illinois University Edwardsville</t>
  </si>
  <si>
    <t>Huaguo Zhou</t>
  </si>
  <si>
    <t>Huaguo</t>
  </si>
  <si>
    <t>Zhou</t>
  </si>
  <si>
    <t>Southern Utah University</t>
  </si>
  <si>
    <t>Stanford University</t>
  </si>
  <si>
    <t>Stevens Institute of Technology</t>
  </si>
  <si>
    <t>SUNY at Binghamton</t>
  </si>
  <si>
    <t>Laura Anderson</t>
  </si>
  <si>
    <t>SUNY at Stony Brook</t>
  </si>
  <si>
    <t>David Richardson</t>
  </si>
  <si>
    <t>SUNY College at New Paltz</t>
  </si>
  <si>
    <t>Talladega College</t>
  </si>
  <si>
    <t>Gladys Swain</t>
  </si>
  <si>
    <t>Gladys</t>
  </si>
  <si>
    <t>Swain</t>
  </si>
  <si>
    <t>Syed Qamar Raza</t>
  </si>
  <si>
    <t>Raza</t>
  </si>
  <si>
    <t>Temple University</t>
  </si>
  <si>
    <t>Tennessee State University</t>
  </si>
  <si>
    <t>Prem Kahlon</t>
  </si>
  <si>
    <t>Prem</t>
  </si>
  <si>
    <t>Kahlon</t>
  </si>
  <si>
    <t>George Yang</t>
  </si>
  <si>
    <t>Brittan Wilson,</t>
  </si>
  <si>
    <t>Brittan</t>
  </si>
  <si>
    <t>Texas A &amp; M International University</t>
  </si>
  <si>
    <t>Christina Gawlik</t>
  </si>
  <si>
    <t>Christina</t>
  </si>
  <si>
    <t>Gawlik</t>
  </si>
  <si>
    <t>Texas Woman's University</t>
  </si>
  <si>
    <t>Margaret D. Johnson</t>
  </si>
  <si>
    <t>The University of Alabama</t>
  </si>
  <si>
    <t>The University of Texas at Arlington</t>
  </si>
  <si>
    <t>Yan Li</t>
  </si>
  <si>
    <t>Yong</t>
  </si>
  <si>
    <t>The University of Texas at El Paso</t>
  </si>
  <si>
    <t>Sun</t>
  </si>
  <si>
    <t>The University of Texas at San Antonio</t>
  </si>
  <si>
    <t>Fengxin Chen</t>
  </si>
  <si>
    <t>Fengxin</t>
  </si>
  <si>
    <t>Trinity College</t>
  </si>
  <si>
    <t>Henry A DePhillips Jr.</t>
  </si>
  <si>
    <t>Tulane University</t>
  </si>
  <si>
    <t>University of Arizona</t>
  </si>
  <si>
    <t>Sweeney</t>
  </si>
  <si>
    <t>University of Chicago</t>
  </si>
  <si>
    <t>University of Cincinnati - Main Campus</t>
  </si>
  <si>
    <t>Roger Chalkley</t>
  </si>
  <si>
    <t>Chalkley</t>
  </si>
  <si>
    <t>University of Connecticut</t>
  </si>
  <si>
    <t>Keen</t>
  </si>
  <si>
    <t>University of Detroit Mercy</t>
  </si>
  <si>
    <t>University of Florida</t>
  </si>
  <si>
    <t>University of Georgia</t>
  </si>
  <si>
    <t>University of Houston</t>
  </si>
  <si>
    <t>Yingfu Li</t>
  </si>
  <si>
    <t>Yingfu</t>
  </si>
  <si>
    <t>University of Houston-Clear Lake</t>
  </si>
  <si>
    <t>University of Illinois at Chicago</t>
  </si>
  <si>
    <t>University of Illinois at Urbana-Champaign</t>
  </si>
  <si>
    <t>University of Kansas</t>
  </si>
  <si>
    <t>University of Louisville</t>
  </si>
  <si>
    <t>Catherine Fenselau</t>
  </si>
  <si>
    <t>Fenselau</t>
  </si>
  <si>
    <t>University of Maryland - College Park</t>
  </si>
  <si>
    <t>University of Maryland - Eastern Shore</t>
  </si>
  <si>
    <t>Mark E. Williams</t>
  </si>
  <si>
    <t>Robert Johnson, Jr.</t>
  </si>
  <si>
    <t>University of Memphis</t>
  </si>
  <si>
    <t>University of Miami</t>
  </si>
  <si>
    <t>University of Missouri - Columbia</t>
  </si>
  <si>
    <t>University of Nevada - Las Vegas</t>
  </si>
  <si>
    <t>Pengtao Sun</t>
  </si>
  <si>
    <t>Pengtao</t>
  </si>
  <si>
    <t>University of North Carolina at Chapel Hill</t>
  </si>
  <si>
    <t>University of Oklahoma</t>
  </si>
  <si>
    <t>University of Pennsylvania</t>
  </si>
  <si>
    <t>University of Rochester</t>
  </si>
  <si>
    <t>Diane TeStrake,</t>
  </si>
  <si>
    <t>University of South Florida</t>
  </si>
  <si>
    <t>Qiong Zhang</t>
  </si>
  <si>
    <t>Qiong</t>
  </si>
  <si>
    <t>University of Texas at Austin</t>
  </si>
  <si>
    <t>Sharon L. Wood</t>
  </si>
  <si>
    <t>Thomas Kakovitch</t>
  </si>
  <si>
    <t>Kakovitch</t>
  </si>
  <si>
    <t>University of the District of Columbia</t>
  </si>
  <si>
    <t>University of Toledo</t>
  </si>
  <si>
    <t>Dong-Shik Kim</t>
  </si>
  <si>
    <t>Dong-Shik</t>
  </si>
  <si>
    <t>Charles Brown</t>
  </si>
  <si>
    <t>University of Tulsa</t>
  </si>
  <si>
    <t>University of Utah</t>
  </si>
  <si>
    <t>Joyce Lin</t>
  </si>
  <si>
    <t>University of Virginia</t>
  </si>
  <si>
    <t>University of Wyoming</t>
  </si>
  <si>
    <t>Vanderbilt University</t>
  </si>
  <si>
    <t>James W. Wilson</t>
  </si>
  <si>
    <t>Villanova University</t>
  </si>
  <si>
    <t>Virginia Union University</t>
  </si>
  <si>
    <t>Gerald W. Esch</t>
  </si>
  <si>
    <t>Esch</t>
  </si>
  <si>
    <t>Wake Forest University</t>
  </si>
  <si>
    <t>Edward Allen</t>
  </si>
  <si>
    <t>Washington State University</t>
  </si>
  <si>
    <t>Wellesley College</t>
  </si>
  <si>
    <t>Stanley Chang</t>
  </si>
  <si>
    <t>Stanley</t>
  </si>
  <si>
    <t>Mukerji</t>
  </si>
  <si>
    <t>West Virginia University</t>
  </si>
  <si>
    <t>David S. Adams</t>
  </si>
  <si>
    <t>Worcester Polytechnic Institute</t>
  </si>
  <si>
    <t>Xavier University</t>
  </si>
  <si>
    <t>Xavier University of Louisiana</t>
  </si>
  <si>
    <t>Shampa Mukerji</t>
  </si>
  <si>
    <t>Shampa</t>
  </si>
  <si>
    <t>Yale University</t>
  </si>
  <si>
    <t>ID</t>
  </si>
  <si>
    <t>facultyname_clean</t>
  </si>
  <si>
    <t>Alex C.C. Wilson</t>
  </si>
  <si>
    <t>Michael W.W.Adams,</t>
  </si>
  <si>
    <t>L. David Smith</t>
  </si>
  <si>
    <t>Robert E. Paaswell </t>
  </si>
  <si>
    <t>Ching-Hua Huang</t>
  </si>
  <si>
    <t>Chin-I Cheng</t>
  </si>
  <si>
    <t>William O. Martin</t>
  </si>
  <si>
    <t>Edward S. Boylan</t>
  </si>
  <si>
    <t>Ann Sweeney</t>
  </si>
  <si>
    <t>Demetria White</t>
  </si>
  <si>
    <t>Shelemyahu Zacks</t>
  </si>
  <si>
    <t>Shulamith Schlick</t>
  </si>
  <si>
    <t>Linda Keen,</t>
  </si>
  <si>
    <t>Tsutomu Nakatsugawa</t>
  </si>
  <si>
    <t>Ethan Bolker</t>
  </si>
  <si>
    <t>Cynthia Moore</t>
  </si>
  <si>
    <t>Kyle Johnson</t>
  </si>
  <si>
    <t>Courtney Smith</t>
  </si>
  <si>
    <t>Larry Davis</t>
  </si>
  <si>
    <t>Yong Zhu</t>
  </si>
  <si>
    <t>Huilin Li</t>
  </si>
  <si>
    <t>Wenfang Sun</t>
  </si>
  <si>
    <t>Andrew Jones, Jr.</t>
  </si>
  <si>
    <t>Erica Young</t>
  </si>
  <si>
    <t>Guiling Wang</t>
  </si>
  <si>
    <t>Patrick Martin</t>
  </si>
  <si>
    <t>Liming Zhang</t>
  </si>
  <si>
    <t>Melanie Wood</t>
  </si>
  <si>
    <t>CV id</t>
  </si>
  <si>
    <t>Biological Sciences</t>
  </si>
  <si>
    <t>Harvard College</t>
  </si>
  <si>
    <t>D</t>
  </si>
  <si>
    <t>K</t>
  </si>
  <si>
    <t>J</t>
  </si>
  <si>
    <t>University of Roorkee</t>
  </si>
  <si>
    <t>University of Maryland College Park</t>
  </si>
  <si>
    <t>University of California at San Diego</t>
  </si>
  <si>
    <t>University of California at Berkeley</t>
  </si>
  <si>
    <t>Tsinghua University</t>
  </si>
  <si>
    <t>University of California-Riverside</t>
  </si>
  <si>
    <t>University of Wisconsin, Madison</t>
  </si>
  <si>
    <t>Nebraska Wesleyan University</t>
  </si>
  <si>
    <t>Rocky Mountain Biological Laboratory</t>
  </si>
  <si>
    <t>Ningbo University</t>
  </si>
  <si>
    <t>University of Manitoba</t>
  </si>
  <si>
    <t xml:space="preserve"> Czechoslovak Academy of Sciences</t>
  </si>
  <si>
    <t>University of Washington</t>
  </si>
  <si>
    <t>Furman University</t>
  </si>
  <si>
    <t>University of Sydney</t>
  </si>
  <si>
    <t>University of California, Berkeley</t>
  </si>
  <si>
    <t>University of California- Berkeley</t>
  </si>
  <si>
    <t>National Taiwan University</t>
  </si>
  <si>
    <t>Georgia Institute of Technology</t>
  </si>
  <si>
    <t>Michigan State  University</t>
  </si>
  <si>
    <t>Yonsei University</t>
  </si>
  <si>
    <t>The University of Chicago</t>
  </si>
  <si>
    <t>Cambridge University</t>
  </si>
  <si>
    <t xml:space="preserve">Bates College </t>
  </si>
  <si>
    <t xml:space="preserve">Columbia University </t>
  </si>
  <si>
    <t xml:space="preserve"> Yale University </t>
  </si>
  <si>
    <t xml:space="preserve">Tulane University </t>
  </si>
  <si>
    <t xml:space="preserve">Arizona State University </t>
  </si>
  <si>
    <t>University of Texas</t>
  </si>
  <si>
    <t>Rockefeller University</t>
  </si>
  <si>
    <t xml:space="preserve">Colorado College </t>
  </si>
  <si>
    <t>Princeton University</t>
  </si>
  <si>
    <t>Austin College</t>
  </si>
  <si>
    <t>University of Nebraska–Lincoln</t>
  </si>
  <si>
    <t>University of Nevada Las Vegas</t>
  </si>
  <si>
    <t>Pennsylvania State University</t>
  </si>
  <si>
    <t>Simon Fraser University</t>
  </si>
  <si>
    <t>Chinese Academy of Sciences                           </t>
  </si>
  <si>
    <t>Hong Kong Polytechnic University</t>
  </si>
  <si>
    <t>Shandong University</t>
  </si>
  <si>
    <t>Tongji University</t>
  </si>
  <si>
    <t xml:space="preserve"> Albert Einstein College of Medicine </t>
  </si>
  <si>
    <t>Greensboro College</t>
  </si>
  <si>
    <t>California State College</t>
  </si>
  <si>
    <t>Univ. Calif. Berkeley</t>
  </si>
  <si>
    <t>NASA Space Sciences Laboratory</t>
  </si>
  <si>
    <t>Johns Hopkins Univ.</t>
  </si>
  <si>
    <t>Kansai Univ.</t>
  </si>
  <si>
    <t>Univ. Warwick</t>
  </si>
  <si>
    <t>Moscow Institute of Physics &amp; Technology</t>
  </si>
  <si>
    <t>North-West Institute of Architecture Engineering</t>
  </si>
  <si>
    <t>University of Illinois</t>
  </si>
  <si>
    <t>University of Cincinnati</t>
  </si>
  <si>
    <t>NCI, NIH</t>
  </si>
  <si>
    <t>University of Maryland</t>
  </si>
  <si>
    <t>University of Nebraska-Lincoln</t>
  </si>
  <si>
    <t>China Agricultural University</t>
  </si>
  <si>
    <t>Beijing Institute of Technology</t>
  </si>
  <si>
    <t>National Center for Health Statistics</t>
  </si>
  <si>
    <t>WESTAT</t>
  </si>
  <si>
    <t>Los Alamos National Laboratory</t>
  </si>
  <si>
    <t>U.S. Federal Reserve</t>
  </si>
  <si>
    <t>Food and Drug Administration</t>
  </si>
  <si>
    <t>National Institute of Mental Health</t>
  </si>
  <si>
    <t xml:space="preserve">Northwestern Univ. </t>
  </si>
  <si>
    <t>Fordham Univ.</t>
  </si>
  <si>
    <t>University of Massachusetts,</t>
  </si>
  <si>
    <t>Emerson College</t>
  </si>
  <si>
    <t>Fisher College</t>
  </si>
  <si>
    <t>Yunnan University</t>
  </si>
  <si>
    <t>Hangzhou University</t>
  </si>
  <si>
    <t>The Institute of Applied Mathematics And Computational Physics</t>
  </si>
  <si>
    <t>University of Michigan</t>
  </si>
  <si>
    <t>Seoul National University</t>
  </si>
  <si>
    <t>Louisiana State University</t>
  </si>
  <si>
    <t>Punjab University</t>
  </si>
  <si>
    <t>Technical University, Poland</t>
  </si>
  <si>
    <t xml:space="preserve">
Florida A&amp;M University</t>
  </si>
  <si>
    <t>Cary Institute of Ecosystem Studies</t>
  </si>
  <si>
    <t>Stroud Water Research Center</t>
  </si>
  <si>
    <t>Beijing Jiao-Tong University</t>
  </si>
  <si>
    <t>University of California, Santa Barbara</t>
  </si>
  <si>
    <t>Moss Landing Marine Laboratories</t>
  </si>
  <si>
    <t>California State University, Fresno</t>
  </si>
  <si>
    <t>Western Washington University</t>
  </si>
  <si>
    <t>California State University, Northridge</t>
  </si>
  <si>
    <t>Fudan University</t>
  </si>
  <si>
    <t>National Chung-Hsing University</t>
  </si>
  <si>
    <t>Chinese Academy of Sciences</t>
  </si>
  <si>
    <t>Hefei University of Technology</t>
  </si>
  <si>
    <t xml:space="preserve">Northwestern University </t>
  </si>
  <si>
    <t>Institute of Structures and Materials</t>
  </si>
  <si>
    <t>Hubei Institute for Nationalities</t>
  </si>
  <si>
    <t>Beijing Polytechnic University</t>
  </si>
  <si>
    <t>Memorial University of Newfoundland</t>
  </si>
  <si>
    <t>UNIVERSITY OF COPENHAGEN</t>
  </si>
  <si>
    <t>Harvard</t>
  </si>
  <si>
    <t>Montana State University</t>
  </si>
  <si>
    <t>Stony Brook University</t>
  </si>
  <si>
    <t>Science Museum of Minnesota</t>
  </si>
  <si>
    <t>Yale</t>
  </si>
  <si>
    <t>University of California Los Angeles</t>
  </si>
  <si>
    <t>University of California, Irvine</t>
  </si>
  <si>
    <t>University of Baltimore</t>
  </si>
  <si>
    <t>Creighton University</t>
  </si>
  <si>
    <t>Florida A&amp;M University</t>
  </si>
  <si>
    <t>The University of North Carolina at Chapel Hill</t>
  </si>
  <si>
    <r>
      <t>Oak</t>
    </r>
    <r>
      <rPr>
        <i/>
        <sz val="12"/>
        <color theme="1"/>
        <rFont val="Times New Roman"/>
        <family val="1"/>
      </rPr>
      <t xml:space="preserve"> </t>
    </r>
    <r>
      <rPr>
        <sz val="12"/>
        <color theme="1"/>
        <rFont val="Times New Roman"/>
        <family val="1"/>
      </rPr>
      <t>Ridge National Laboratory</t>
    </r>
  </si>
  <si>
    <t xml:space="preserve">Hinds Community College        </t>
  </si>
  <si>
    <t xml:space="preserve"> Tougaloo College </t>
  </si>
  <si>
    <t>Capella University</t>
  </si>
  <si>
    <t>University of South Carolina</t>
  </si>
  <si>
    <t>University of Notre Dame-Australia</t>
  </si>
  <si>
    <t>College of St. Benedict</t>
  </si>
  <si>
    <t>The College of St. Catherine</t>
  </si>
  <si>
    <t>Metropolitan State University</t>
  </si>
  <si>
    <t>Concordia College St. Paul</t>
  </si>
  <si>
    <t>The College of St. Thomas</t>
  </si>
  <si>
    <t>Parkland College</t>
  </si>
  <si>
    <t>Loyola University Chicago</t>
  </si>
  <si>
    <t>Israel Institute of Technology</t>
  </si>
  <si>
    <t>Weizmann Institute of Science</t>
  </si>
  <si>
    <t>University of Bologna</t>
  </si>
  <si>
    <t>University of Florence</t>
  </si>
  <si>
    <t>Tokyo Institute of Technology</t>
  </si>
  <si>
    <t>Centre d’Études Nucléaires de Grenoble</t>
  </si>
  <si>
    <t>The City College of New York, Marshak Hall</t>
  </si>
  <si>
    <r>
      <t>University of</t>
    </r>
    <r>
      <rPr>
        <i/>
        <sz val="12"/>
        <color theme="1"/>
        <rFont val="CG Times 12pt"/>
      </rPr>
      <t xml:space="preserve"> </t>
    </r>
    <r>
      <rPr>
        <b/>
        <sz val="12"/>
        <color theme="1"/>
        <rFont val="CG Times 12pt"/>
      </rPr>
      <t>Illinois at Chicago</t>
    </r>
  </si>
  <si>
    <t>Chicago Transit Authority</t>
  </si>
  <si>
    <t>State University of New York at Buffalo</t>
  </si>
  <si>
    <t>Rutgers University</t>
  </si>
  <si>
    <t>Columbia University</t>
  </si>
  <si>
    <t xml:space="preserve"> Washington University</t>
  </si>
  <si>
    <t>University of Wisconsin-Madison</t>
  </si>
  <si>
    <t>Oak Ridge National Laboratories</t>
  </si>
  <si>
    <t>State University of New York College of Environmental Science and Forestry</t>
  </si>
  <si>
    <t>Tokyo University</t>
  </si>
  <si>
    <t>Cold Spring Harbor Laboratory</t>
  </si>
  <si>
    <t>University of Texas Austin</t>
  </si>
  <si>
    <t>Maruha Co</t>
  </si>
  <si>
    <t>Xiamen University</t>
  </si>
  <si>
    <t>North Dakota State University</t>
  </si>
  <si>
    <t>Wuhan University</t>
  </si>
  <si>
    <t>University of Alabama at Birmingham</t>
  </si>
  <si>
    <t>University of Massachusetts</t>
  </si>
  <si>
    <t>University of California</t>
  </si>
  <si>
    <t>University of Missouri-Columbia</t>
  </si>
  <si>
    <t>University of Arkansas,</t>
  </si>
  <si>
    <t>Chung Yuan Christian University</t>
  </si>
  <si>
    <t>Columbia College</t>
  </si>
  <si>
    <t>Yeshiva University</t>
  </si>
  <si>
    <t>Hunter College</t>
  </si>
  <si>
    <t>University of Wisconsin‐Madison</t>
  </si>
  <si>
    <t>University of Northern Iowa</t>
  </si>
  <si>
    <t>University of Wisconsin-Milwaukee</t>
  </si>
  <si>
    <t>University of Western Australia</t>
  </si>
  <si>
    <t>Monash University</t>
  </si>
  <si>
    <t>Queen's University of Belfast</t>
  </si>
  <si>
    <t>University of California Santa Barbara</t>
  </si>
  <si>
    <t>University of Alabama</t>
  </si>
  <si>
    <t>Nankai University</t>
  </si>
  <si>
    <t>Nanchang University</t>
  </si>
  <si>
    <t>University of Nevada, Reno</t>
  </si>
  <si>
    <r>
      <t>University of Chicago</t>
    </r>
    <r>
      <rPr>
        <i/>
        <sz val="10"/>
        <color theme="1"/>
        <rFont val="Arial"/>
        <family val="2"/>
      </rPr>
      <t xml:space="preserve"> </t>
    </r>
  </si>
  <si>
    <t>University of London</t>
  </si>
  <si>
    <t>Exxon Research &amp; Engineering Co</t>
  </si>
  <si>
    <t>University of Sci. &amp; Tech. Beijing</t>
  </si>
  <si>
    <t>Lawrence Berkeley National Laboratory</t>
  </si>
  <si>
    <t>Brookhaven National Laboratory</t>
  </si>
  <si>
    <t>Georgia Institute of Technology,</t>
  </si>
  <si>
    <t>National Science Council</t>
  </si>
  <si>
    <t>Hebrew University</t>
  </si>
  <si>
    <t>Technion</t>
  </si>
  <si>
    <t>The George Washington University</t>
  </si>
  <si>
    <t>The University of New Mexico</t>
  </si>
  <si>
    <t>SUNY - Binghamton University</t>
  </si>
  <si>
    <t>Virginia Polytechnic Institute</t>
  </si>
  <si>
    <t>Tel-aviv University</t>
  </si>
  <si>
    <t>Stanford University,</t>
  </si>
  <si>
    <t>American Institute of Mathematics</t>
  </si>
  <si>
    <t>University of Cambridge,</t>
  </si>
  <si>
    <t>Fort Hays State University</t>
  </si>
  <si>
    <t>Texas A&amp;M University</t>
  </si>
  <si>
    <t>El Paso Community College</t>
  </si>
  <si>
    <t>City University of New York Bronx</t>
  </si>
  <si>
    <t>The City College of New York</t>
  </si>
  <si>
    <t>Macquarie University</t>
  </si>
  <si>
    <t>University of California, Davis</t>
  </si>
  <si>
    <t>The Australian National University</t>
  </si>
  <si>
    <t>University of California, Los Angeles</t>
  </si>
  <si>
    <t xml:space="preserve">University of Minnesota </t>
  </si>
  <si>
    <t xml:space="preserve">Drake University </t>
  </si>
  <si>
    <t>Caltech</t>
  </si>
  <si>
    <t>inst_name</t>
  </si>
  <si>
    <t>Coppin State College</t>
  </si>
  <si>
    <t>North Carolina Agricultural and Technical State University</t>
  </si>
  <si>
    <t>University of Maryland Eastern Shore</t>
  </si>
  <si>
    <t>Tougaloo College</t>
  </si>
  <si>
    <t>College of St. Catherine</t>
  </si>
  <si>
    <t>State University of New York at New Paltz</t>
  </si>
  <si>
    <t>Southern Illinois University at Edwardsville</t>
  </si>
  <si>
    <t>City University of New York College of Staten Island</t>
  </si>
  <si>
    <t>City University of New York City College</t>
  </si>
  <si>
    <t>California State University-Sacramento</t>
  </si>
  <si>
    <t>University of Houston - Clear Lake</t>
  </si>
  <si>
    <t>North Dakota State University Main Campus</t>
  </si>
  <si>
    <t>University of Massachusetts Boston</t>
  </si>
  <si>
    <t>University of Nevada-Las Vegas</t>
  </si>
  <si>
    <t>Rutgers, The State University of New Jersey, Newark Campus</t>
  </si>
  <si>
    <t>University of Alabama, The</t>
  </si>
  <si>
    <t>University of California-Santa Barbara</t>
  </si>
  <si>
    <t>University of Maryland-College Park</t>
  </si>
  <si>
    <t>Georgia Institute of Technology-Main Campus</t>
  </si>
  <si>
    <t>Cornell University-Endowed Colleges</t>
  </si>
  <si>
    <t>University of Texas at Austin, The</t>
  </si>
  <si>
    <t>University of Cincinnati Main Campus</t>
  </si>
  <si>
    <t>University of Texas at Arlington, The</t>
  </si>
  <si>
    <t>Mount Saint Mary's College</t>
  </si>
  <si>
    <t>Texas A&amp;M International University</t>
  </si>
  <si>
    <t>University of Texas at El Paso</t>
  </si>
  <si>
    <t>California State University-Fullerton</t>
  </si>
  <si>
    <t>City University of New York Herbert H. Lehman College</t>
  </si>
  <si>
    <t>University of Texas at San Antonio</t>
  </si>
  <si>
    <t>PhdInst</t>
  </si>
  <si>
    <t>FICE_PHD</t>
  </si>
  <si>
    <t>University Illinois - Medical Center Chi</t>
  </si>
  <si>
    <t>I finished Doctorate program No Ph.D</t>
  </si>
  <si>
    <t>La Satae U</t>
  </si>
  <si>
    <t>Tchnical University in Poland</t>
  </si>
  <si>
    <t>Berkeley</t>
  </si>
  <si>
    <t>Univ of Maryland College Park</t>
  </si>
  <si>
    <t>Saint Louis University</t>
  </si>
  <si>
    <t>In progress at Capella University</t>
  </si>
  <si>
    <t>University of Maryland at College Park</t>
  </si>
  <si>
    <t>U Louisville</t>
  </si>
  <si>
    <t>UC Berkeley</t>
  </si>
  <si>
    <t>Rutgers</t>
  </si>
  <si>
    <t>UC San Diego</t>
  </si>
  <si>
    <t>Washington University, St. Louis</t>
  </si>
  <si>
    <t>U. Wisconsin-Madison</t>
  </si>
  <si>
    <t>Temple University School of Medicine</t>
  </si>
  <si>
    <t>University of Texas, Austin</t>
  </si>
  <si>
    <t>Chinese academy of Sciences</t>
  </si>
  <si>
    <t>Iowa State University, Ames, Iowa</t>
  </si>
  <si>
    <t>Univ. of oklahoma</t>
  </si>
  <si>
    <t>Fudan</t>
  </si>
  <si>
    <t>Czechoslovak Academy of Sciences</t>
  </si>
  <si>
    <t>University of Liverpool, U.K.</t>
  </si>
  <si>
    <t>Institute of Mathematics, Academy Sinica</t>
  </si>
  <si>
    <t>University of California, San Diego</t>
  </si>
  <si>
    <t>university of wisconsin--Madison</t>
  </si>
  <si>
    <t>Einstein Medical College of Yeshiva Univ</t>
  </si>
  <si>
    <t>Duke U</t>
  </si>
  <si>
    <t>johns hopkins university</t>
  </si>
  <si>
    <t>Monash University (Australia)</t>
  </si>
  <si>
    <t>stanford</t>
  </si>
  <si>
    <t>University of Sci &amp; Tech Beijing</t>
  </si>
  <si>
    <t>MIT</t>
  </si>
  <si>
    <t>Michigan Tech</t>
  </si>
  <si>
    <t>Johns Hopkins Univ</t>
  </si>
  <si>
    <t>University of Illinois at Urbana-Champai</t>
  </si>
  <si>
    <t>columbia University, New York</t>
  </si>
  <si>
    <t>university of maryland at college park</t>
  </si>
  <si>
    <t>university of north carolina at chapel h</t>
  </si>
  <si>
    <t>Princeton</t>
  </si>
  <si>
    <t>Northwestern University, IL</t>
  </si>
  <si>
    <t>Baylor UNiversity</t>
  </si>
  <si>
    <t>UMASS, Boston</t>
  </si>
  <si>
    <t>Georgia Tech</t>
  </si>
  <si>
    <t>NYU</t>
  </si>
  <si>
    <t>Macquarie University, Australia</t>
  </si>
  <si>
    <t>UCLA</t>
  </si>
  <si>
    <t>YPhd</t>
  </si>
  <si>
    <t>CenterName</t>
  </si>
  <si>
    <t>North Carolina A&amp;T State University</t>
  </si>
  <si>
    <t>Jackson State Univeristy</t>
  </si>
  <si>
    <t>The MINT Center/UA</t>
  </si>
  <si>
    <t>Center for Reservoir Research</t>
  </si>
  <si>
    <t>University Transportation Research Center</t>
  </si>
  <si>
    <t>Coastal and Marine Institute</t>
  </si>
  <si>
    <t>photochemical center</t>
  </si>
  <si>
    <t>Center for Applied Mathematics and Statistics (CAMS)</t>
  </si>
  <si>
    <t>rutgers university-newark branch</t>
  </si>
  <si>
    <t>Center for Molecular Communication and Signalling</t>
  </si>
  <si>
    <t>Center for Science and Mathematics Education</t>
  </si>
  <si>
    <t>School of Freshwater Sciences</t>
  </si>
  <si>
    <t>Center for Structural Biology</t>
  </si>
  <si>
    <t>Center for Environmental Sciences and Engineering</t>
  </si>
  <si>
    <t>National Center for Concrete Technology</t>
  </si>
  <si>
    <t>HHS Center of Excellence at UNC</t>
  </si>
  <si>
    <t>Indio Mountains Research Station</t>
  </si>
  <si>
    <t>Proteomics</t>
  </si>
  <si>
    <t>Oak Ridge National Laboratory</t>
  </si>
  <si>
    <t xml:space="preserve">University of Chicago </t>
  </si>
  <si>
    <t>Florida A&amp;M Universiy</t>
  </si>
  <si>
    <t>Institution</t>
  </si>
  <si>
    <t xml:space="preserve">Yale University </t>
  </si>
  <si>
    <t>NIH</t>
  </si>
  <si>
    <t>DELETE</t>
  </si>
  <si>
    <t>Hinds Community College</t>
  </si>
  <si>
    <t>Washington University</t>
  </si>
  <si>
    <t>Drake University</t>
  </si>
  <si>
    <t>University of Minnesota</t>
  </si>
  <si>
    <t>California State University, Sacramento</t>
  </si>
  <si>
    <t>California State University, Fullerton</t>
  </si>
  <si>
    <t>City University of New York, Bronx</t>
  </si>
  <si>
    <t>Kansai University</t>
  </si>
  <si>
    <t>Loyola University</t>
  </si>
  <si>
    <t>National Institutes of Health</t>
  </si>
  <si>
    <t>Southern Illinois University, Carbondale</t>
  </si>
  <si>
    <t>Southern Illinois University, Edwardsville</t>
  </si>
  <si>
    <t>State University of New York, Buffalo</t>
  </si>
  <si>
    <t>State University of New York, New Paltz</t>
  </si>
  <si>
    <t>State University of New York, College of Environmental Science and Forestry</t>
  </si>
  <si>
    <t>Australian National University</t>
  </si>
  <si>
    <t>City College of New York, Marshak Hall</t>
  </si>
  <si>
    <t>College of St. Thomas</t>
  </si>
  <si>
    <t>University of New Mexico</t>
  </si>
  <si>
    <t>University of Warwick</t>
  </si>
  <si>
    <t>University of Arkansas</t>
  </si>
  <si>
    <t>University of California, Riverside</t>
  </si>
  <si>
    <t>University of Cambridge</t>
  </si>
  <si>
    <t>University of Detroit, Mercy</t>
  </si>
  <si>
    <t>University of Houston, Clear Lake</t>
  </si>
  <si>
    <t>University of Illinois, Chicago</t>
  </si>
  <si>
    <t>University of Illinois, Urbana-Champaign</t>
  </si>
  <si>
    <t>University of Liverpool</t>
  </si>
  <si>
    <t>University of Maryland, College Park</t>
  </si>
  <si>
    <t>University of Maryland, Eastern Shore</t>
  </si>
  <si>
    <t>University of Missouri, Columbia</t>
  </si>
  <si>
    <t>University of Nebraska, Lincoln</t>
  </si>
  <si>
    <t>University of Nevada, Las Vegas</t>
  </si>
  <si>
    <t>University of North Carolina, Chapel Hill</t>
  </si>
  <si>
    <t>University of Notre Dame, Australia</t>
  </si>
  <si>
    <t>University of Science &amp; Technology Beijing</t>
  </si>
  <si>
    <t>University of Texas, Arlington</t>
  </si>
  <si>
    <t>University of Texas, San Antonio</t>
  </si>
  <si>
    <t>University of Texas, El Paso</t>
  </si>
  <si>
    <t>University of Wisconsin, Milwaukee</t>
  </si>
  <si>
    <t>Institution CLEANED</t>
  </si>
  <si>
    <t xml:space="preserve">Henry A DePhillips Jr </t>
  </si>
  <si>
    <t xml:space="preserve">Diane TeStrake </t>
  </si>
  <si>
    <t xml:space="preserve">Brittan Wilson </t>
  </si>
  <si>
    <t xml:space="preserve">Michael W W Adams </t>
  </si>
  <si>
    <t xml:space="preserve">Linda Keen </t>
  </si>
  <si>
    <t>Leonard G Davis</t>
  </si>
  <si>
    <t>Timothy O Moore</t>
  </si>
  <si>
    <t>Sherrice V Allen</t>
  </si>
  <si>
    <t>Atma R Sahu</t>
  </si>
  <si>
    <t>Tamara L Davis</t>
  </si>
  <si>
    <t>E Vagos Hadjimichael</t>
  </si>
  <si>
    <t>Xin Jessica Jiang</t>
  </si>
  <si>
    <t>Charles F Rick Williams</t>
  </si>
  <si>
    <t>D V Reddy</t>
  </si>
  <si>
    <t>Paul R Anderson</t>
  </si>
  <si>
    <t>Mark E Williams</t>
  </si>
  <si>
    <t xml:space="preserve">Robert Johnson Jr </t>
  </si>
  <si>
    <t>James W Wilson</t>
  </si>
  <si>
    <t>David S Adams</t>
  </si>
  <si>
    <t>Gerald W Esch</t>
  </si>
  <si>
    <t>Margaret D Johnson</t>
  </si>
  <si>
    <t>Sharon L Wood</t>
  </si>
  <si>
    <t xml:space="preserve">Stephen B White </t>
  </si>
  <si>
    <t>Frank Y C Huang</t>
  </si>
  <si>
    <t>William A Wallace</t>
  </si>
  <si>
    <t xml:space="preserve">Andrew Jones Jr </t>
  </si>
  <si>
    <t>L David Smith</t>
  </si>
  <si>
    <t>Robert E Paaswell </t>
  </si>
  <si>
    <t>Edward S Boylan</t>
  </si>
  <si>
    <t>William O Martin</t>
  </si>
  <si>
    <t>Alex C C Wilson</t>
  </si>
  <si>
    <t>G</t>
  </si>
  <si>
    <t>O</t>
  </si>
  <si>
    <t>V</t>
  </si>
  <si>
    <t>R</t>
  </si>
  <si>
    <t>L</t>
  </si>
  <si>
    <t>E</t>
  </si>
  <si>
    <t>Vagos</t>
  </si>
  <si>
    <t>F</t>
  </si>
  <si>
    <t>Rick</t>
  </si>
  <si>
    <t>W</t>
  </si>
  <si>
    <t>S</t>
  </si>
  <si>
    <t>TeStrake</t>
  </si>
  <si>
    <t>DePhillips</t>
  </si>
  <si>
    <t>Qamar</t>
  </si>
  <si>
    <t>B</t>
  </si>
  <si>
    <t>C</t>
  </si>
  <si>
    <t>TODD</t>
  </si>
  <si>
    <t>ANDERSON</t>
  </si>
  <si>
    <t>Y</t>
  </si>
  <si>
    <t>Curry</t>
  </si>
  <si>
    <t>Demetria</t>
  </si>
  <si>
    <t>Shulamith</t>
  </si>
  <si>
    <t>Schlick</t>
  </si>
  <si>
    <t>Paaswell </t>
  </si>
  <si>
    <t>Tsutomu</t>
  </si>
  <si>
    <t>Nakatsugawa</t>
  </si>
  <si>
    <t>Wenfang</t>
  </si>
  <si>
    <t>Bolker</t>
  </si>
  <si>
    <t>Chin-I</t>
  </si>
  <si>
    <t>Boylan</t>
  </si>
  <si>
    <t>Erica</t>
  </si>
  <si>
    <t>Liming</t>
  </si>
  <si>
    <t>Huilin</t>
  </si>
  <si>
    <t>Guiling</t>
  </si>
  <si>
    <t>Ching-Hua</t>
  </si>
  <si>
    <t>Shelemyahu</t>
  </si>
  <si>
    <t>Zacks</t>
  </si>
  <si>
    <t>Kyle</t>
  </si>
  <si>
    <t>Alex</t>
  </si>
  <si>
    <t>Courtney</t>
  </si>
  <si>
    <t>John C Gilbert</t>
  </si>
  <si>
    <t>LAST</t>
  </si>
  <si>
    <t>I</t>
  </si>
  <si>
    <t>H</t>
  </si>
  <si>
    <t>Austin College</t>
  </si>
  <si>
    <t>City University of New York</t>
  </si>
  <si>
    <t>City University of New York, City College</t>
  </si>
  <si>
    <t>City University of New York, College, Staten Island</t>
  </si>
  <si>
    <t>College</t>
  </si>
  <si>
    <t>Island</t>
  </si>
  <si>
    <t>Bronx</t>
  </si>
  <si>
    <t>Buffalo</t>
  </si>
  <si>
    <t>Forestry</t>
  </si>
  <si>
    <t>Paltz</t>
  </si>
  <si>
    <t>Binghamton</t>
  </si>
  <si>
    <t>Brook</t>
  </si>
  <si>
    <t>KEYWORD</t>
  </si>
  <si>
    <t>#WORDS</t>
  </si>
  <si>
    <t>NO DOTS COMMAS PARENTHESES</t>
  </si>
  <si>
    <t>SPLIT</t>
  </si>
  <si>
    <t>INITIALS</t>
  </si>
  <si>
    <t>NAME QUERY</t>
  </si>
  <si>
    <t>ORG QUERY</t>
  </si>
  <si>
    <t>RESULTS</t>
  </si>
  <si>
    <t>univ* Illinois</t>
  </si>
  <si>
    <t>univ* Virginia</t>
  </si>
  <si>
    <t>univ* Alabama</t>
  </si>
  <si>
    <t>univ* Florida</t>
  </si>
  <si>
    <t>univ* California, Berkeley</t>
  </si>
  <si>
    <t>univ* North Carolina, Chapel Hill</t>
  </si>
  <si>
    <t>univ* Maryland, College Park</t>
  </si>
  <si>
    <t>univ* Roorkee</t>
  </si>
  <si>
    <t>univ* Cincinnati</t>
  </si>
  <si>
    <t>univ* Maryland, Eastern Shore</t>
  </si>
  <si>
    <t>univ* South Carolina</t>
  </si>
  <si>
    <t>univ* Notre Dame, Australia</t>
  </si>
  <si>
    <t>univ* California, San Diego</t>
  </si>
  <si>
    <t>univ* Pennsylvania</t>
  </si>
  <si>
    <t>univ* Chicago</t>
  </si>
  <si>
    <t>univ* Illinois, Urbana-Champaign</t>
  </si>
  <si>
    <t>univ* Louisville</t>
  </si>
  <si>
    <t>univ* Maryland</t>
  </si>
  <si>
    <t>univ* Wyoming</t>
  </si>
  <si>
    <t>univ* Bologna</t>
  </si>
  <si>
    <t>univ* Detroit, Mercy</t>
  </si>
  <si>
    <t>univ* Florence</t>
  </si>
  <si>
    <t>univ* South Florida</t>
  </si>
  <si>
    <t>univ* Illinois, Chicago</t>
  </si>
  <si>
    <t>univ* Houston, Clear Lake</t>
  </si>
  <si>
    <t>univ* Memphis</t>
  </si>
  <si>
    <t>univ* California, Santa Barbara</t>
  </si>
  <si>
    <t>univ* Washington</t>
  </si>
  <si>
    <t>univ* Wisconsin, Madison</t>
  </si>
  <si>
    <t>univ* California, Riverside</t>
  </si>
  <si>
    <t>univ* Miami</t>
  </si>
  <si>
    <t>univ* Oklahoma</t>
  </si>
  <si>
    <t>univ* Manitoba</t>
  </si>
  <si>
    <t>univ* Houston</t>
  </si>
  <si>
    <t>univ* Texas, Austin</t>
  </si>
  <si>
    <t>univ* Nebraska, Lincoln</t>
  </si>
  <si>
    <t>univ* Tulsa</t>
  </si>
  <si>
    <t>univ* Liverpool</t>
  </si>
  <si>
    <t>univ* California</t>
  </si>
  <si>
    <t>univ* Massachusetts</t>
  </si>
  <si>
    <t>univ* Arkansas</t>
  </si>
  <si>
    <t>univ* Missouri, Columbia</t>
  </si>
  <si>
    <t>univ* Nevada, Las Vegas</t>
  </si>
  <si>
    <t>univ* Northern Iowa</t>
  </si>
  <si>
    <t>univ* Sydney</t>
  </si>
  <si>
    <t>univ* Western Australia</t>
  </si>
  <si>
    <t>univ* Wisconsin, Milwaukee</t>
  </si>
  <si>
    <t>univ* Michigan</t>
  </si>
  <si>
    <t>univ* Nevada, Reno</t>
  </si>
  <si>
    <t>univ* Georgia</t>
  </si>
  <si>
    <t>univ* London</t>
  </si>
  <si>
    <t>univ* Warwick</t>
  </si>
  <si>
    <t>univ* Science &amp; Technology Beijing</t>
  </si>
  <si>
    <t>univ* Connecticut</t>
  </si>
  <si>
    <t>univ* COPENHAGEN</t>
  </si>
  <si>
    <t>univ* New Mexico</t>
  </si>
  <si>
    <t>univ* Texas, Arlington</t>
  </si>
  <si>
    <t>univ* Texas</t>
  </si>
  <si>
    <t>univ* Utah</t>
  </si>
  <si>
    <t>univ* Cambridge</t>
  </si>
  <si>
    <t>univ* California, Los Angeles</t>
  </si>
  <si>
    <t>univ* California, Irvine</t>
  </si>
  <si>
    <t>univ* Rochester</t>
  </si>
  <si>
    <t>univ* Baltimore</t>
  </si>
  <si>
    <t>univ* Kansas</t>
  </si>
  <si>
    <t>univ* Texas, El Paso</t>
  </si>
  <si>
    <t>univ* Texas, San Antonio</t>
  </si>
  <si>
    <t>univ* Arizona</t>
  </si>
  <si>
    <t>univ* California, Davis</t>
  </si>
  <si>
    <t>univ* Minnesota</t>
  </si>
  <si>
    <t>univ* Toledo</t>
  </si>
  <si>
    <t>Technical University in Poland</t>
  </si>
  <si>
    <t>Coppin State*</t>
  </si>
  <si>
    <t>Hinds Community*</t>
  </si>
  <si>
    <t>Bryn Mawr*</t>
  </si>
  <si>
    <t>California State*</t>
  </si>
  <si>
    <t>Talladega*</t>
  </si>
  <si>
    <t>Tennessee State*</t>
  </si>
  <si>
    <t>Delaware State*</t>
  </si>
  <si>
    <t>Howard*</t>
  </si>
  <si>
    <t>Oregon State*</t>
  </si>
  <si>
    <t>Clark Atlanta*</t>
  </si>
  <si>
    <t>Xavier*</t>
  </si>
  <si>
    <t>East Carolina*</t>
  </si>
  <si>
    <t>Fayetteville State*</t>
  </si>
  <si>
    <t>North Carolina State*</t>
  </si>
  <si>
    <t>Fisk*</t>
  </si>
  <si>
    <t>North Carolina A&amp;T State*</t>
  </si>
  <si>
    <t>Virginia Union*</t>
  </si>
  <si>
    <t>Lane*</t>
  </si>
  <si>
    <t>Louisiana State*</t>
  </si>
  <si>
    <t>Punjab*</t>
  </si>
  <si>
    <t>Florida A&amp;M*</t>
  </si>
  <si>
    <t>Florida State*</t>
  </si>
  <si>
    <t>Jackson State*</t>
  </si>
  <si>
    <t>Brown*</t>
  </si>
  <si>
    <t>Cleveland State*</t>
  </si>
  <si>
    <t>Duke*</t>
  </si>
  <si>
    <t>Morehouse*</t>
  </si>
  <si>
    <t>Saint Louis*</t>
  </si>
  <si>
    <t>Capella*</t>
  </si>
  <si>
    <t>Tougaloo*</t>
  </si>
  <si>
    <t>Smith*</t>
  </si>
  <si>
    <t>Boise State*</t>
  </si>
  <si>
    <t>Southern Utah*</t>
  </si>
  <si>
    <t>Washington State*</t>
  </si>
  <si>
    <t>Western Washington*</t>
  </si>
  <si>
    <t>Cambridge*</t>
  </si>
  <si>
    <t>Rice*</t>
  </si>
  <si>
    <t>Wellesley*</t>
  </si>
  <si>
    <t>Loyola*</t>
  </si>
  <si>
    <t>Metropolitan State*</t>
  </si>
  <si>
    <t>Parkland*</t>
  </si>
  <si>
    <t>Colorado State*</t>
  </si>
  <si>
    <t>Murray State*</t>
  </si>
  <si>
    <t>Ohio State*</t>
  </si>
  <si>
    <t>West Virginia*</t>
  </si>
  <si>
    <t>Cornell*</t>
  </si>
  <si>
    <t>Dartmouth*</t>
  </si>
  <si>
    <t>Santa Clara*</t>
  </si>
  <si>
    <t>Yale*</t>
  </si>
  <si>
    <t>Arizona State*</t>
  </si>
  <si>
    <t>Bates*</t>
  </si>
  <si>
    <t>Columbia*</t>
  </si>
  <si>
    <t>Tulane*</t>
  </si>
  <si>
    <t>Villanova*</t>
  </si>
  <si>
    <t>Fairfield*</t>
  </si>
  <si>
    <t>Beijing Jiao-Tong*</t>
  </si>
  <si>
    <t>Tsinghua*</t>
  </si>
  <si>
    <t>Rutgers*</t>
  </si>
  <si>
    <t>Rowan*</t>
  </si>
  <si>
    <t>San Diego State*</t>
  </si>
  <si>
    <t>Idaho State*</t>
  </si>
  <si>
    <t>Nebraska Wesleyan*</t>
  </si>
  <si>
    <t>Ningbo*</t>
  </si>
  <si>
    <t>Illinois State*</t>
  </si>
  <si>
    <t>Temple*</t>
  </si>
  <si>
    <t>Washington*</t>
  </si>
  <si>
    <t>Oklahoma State*</t>
  </si>
  <si>
    <t>Rockefeller*</t>
  </si>
  <si>
    <t>Oakland*</t>
  </si>
  <si>
    <t>Iowa State*</t>
  </si>
  <si>
    <t>Tokyo*</t>
  </si>
  <si>
    <t>Xiamen*</t>
  </si>
  <si>
    <t>Colorado*</t>
  </si>
  <si>
    <t>Wake Forest*</t>
  </si>
  <si>
    <t>Bowling Green State*</t>
  </si>
  <si>
    <t>Fudan*</t>
  </si>
  <si>
    <t>Austin*</t>
  </si>
  <si>
    <t>Princeton*</t>
  </si>
  <si>
    <t>Florida Atlantic*</t>
  </si>
  <si>
    <t>North Dakota State*</t>
  </si>
  <si>
    <t>Wuhan*</t>
  </si>
  <si>
    <t>Purdue*</t>
  </si>
  <si>
    <t>National Chung-Hsing*</t>
  </si>
  <si>
    <t>Vanderbilt*</t>
  </si>
  <si>
    <t>Furman*</t>
  </si>
  <si>
    <t>Harvard*</t>
  </si>
  <si>
    <t>Central Michigan*</t>
  </si>
  <si>
    <t>Chung Yuan Christian*</t>
  </si>
  <si>
    <t>Hong Kong Polytechnic*</t>
  </si>
  <si>
    <t>Pennsylvania State*</t>
  </si>
  <si>
    <t>Shandong*</t>
  </si>
  <si>
    <t>Simon Fraser*</t>
  </si>
  <si>
    <t>Tongji*</t>
  </si>
  <si>
    <t>Hunter*</t>
  </si>
  <si>
    <t>Yeshiva*</t>
  </si>
  <si>
    <t>Brigham Young*</t>
  </si>
  <si>
    <t>Kansas State*</t>
  </si>
  <si>
    <t>Texas Woman's*</t>
  </si>
  <si>
    <t>Greensboro*</t>
  </si>
  <si>
    <t>Georgia State*</t>
  </si>
  <si>
    <t>Johns Hopkins*</t>
  </si>
  <si>
    <t>Monash*</t>
  </si>
  <si>
    <t>Nanchang*</t>
  </si>
  <si>
    <t>Nankai*</t>
  </si>
  <si>
    <t>Kansai*</t>
  </si>
  <si>
    <t>Stanford*</t>
  </si>
  <si>
    <t>Michigan Technological*</t>
  </si>
  <si>
    <t>National Taiwan*</t>
  </si>
  <si>
    <t>Northwestern*</t>
  </si>
  <si>
    <t>Manhattan*</t>
  </si>
  <si>
    <t>Beijing Polytechnic*</t>
  </si>
  <si>
    <t>Hebrew*</t>
  </si>
  <si>
    <t>New York*</t>
  </si>
  <si>
    <t>George Washington*</t>
  </si>
  <si>
    <t>China Agricultural*</t>
  </si>
  <si>
    <t>Macalester*</t>
  </si>
  <si>
    <t>Montana State*</t>
  </si>
  <si>
    <t>Stony Brook*</t>
  </si>
  <si>
    <t>Fordham*</t>
  </si>
  <si>
    <t>Trinity*</t>
  </si>
  <si>
    <t>Baylor*</t>
  </si>
  <si>
    <t>Reed*</t>
  </si>
  <si>
    <t>Mount Saint Mary's*</t>
  </si>
  <si>
    <t>Emerson*</t>
  </si>
  <si>
    <t>Fisher*</t>
  </si>
  <si>
    <t>Texas A&amp;M International*</t>
  </si>
  <si>
    <t>El Paso Community*</t>
  </si>
  <si>
    <t>Fort Hays State*</t>
  </si>
  <si>
    <t>Texas A&amp;M*</t>
  </si>
  <si>
    <t>Michigan State *</t>
  </si>
  <si>
    <t>Yonsei*</t>
  </si>
  <si>
    <t>Hangzhou*</t>
  </si>
  <si>
    <t>Yunnan*</t>
  </si>
  <si>
    <t>Macquarie*</t>
  </si>
  <si>
    <t>Australian National*</t>
  </si>
  <si>
    <t>Drake*</t>
  </si>
  <si>
    <t>Creighton*</t>
  </si>
  <si>
    <t>Seoul National*</t>
  </si>
  <si>
    <t>REPL.TYPE</t>
  </si>
  <si>
    <t>Coll* Saint Benedict</t>
  </si>
  <si>
    <t>Coll* St. Catherine</t>
  </si>
  <si>
    <t>Coll* St. Thomas</t>
  </si>
  <si>
    <t>Coll* William and Mary</t>
  </si>
  <si>
    <t>City (5)</t>
  </si>
  <si>
    <t>SUNY</t>
  </si>
  <si>
    <t>Southern Illinois Univ*</t>
  </si>
  <si>
    <t>CUNY</t>
  </si>
  <si>
    <t>Washington Univ*</t>
  </si>
  <si>
    <t>California State Univ*</t>
  </si>
  <si>
    <t>5,6</t>
  </si>
  <si>
    <t>University(5,6, GREEN)</t>
  </si>
  <si>
    <t>State University of New York, Stony Brook</t>
  </si>
  <si>
    <t>3,5</t>
  </si>
  <si>
    <t>State University of New York, Binghamton</t>
  </si>
  <si>
    <t>Tshing Hua</t>
  </si>
  <si>
    <t>QUERY INST</t>
  </si>
  <si>
    <t>QUERY + ADDR</t>
  </si>
  <si>
    <t>PRE-KEYWORD (0,1,2,3,4)</t>
  </si>
  <si>
    <t>(og=(Talladega*) OR oo=(Talladega*) OR ad=(Talladega*)) OR (og=(Tennessee State*) OR oo=(Tennessee State*) OR ad=(Tennessee State*))</t>
  </si>
  <si>
    <t>(og=(Xavier*) OR oo=(Xavier*) OR ad=(Xavier*))</t>
  </si>
  <si>
    <t>(og=(Capella*) OR oo=(Capella*) OR ad=(Capella*)) OR (og=(Hinds Community*) OR oo=(Hinds Community*) OR ad=(Hinds Community*)) OR (og=(Jackson State*) OR oo=(Jackson State*) OR ad=(Jackson State*)) OR (og=(Tougaloo*) OR oo=(Tougaloo*) OR ad=(Tougaloo*)) OR (og=(Tougaloo*) OR oo=(Tougaloo*) OR ad=(Tougaloo*))</t>
  </si>
  <si>
    <t>(og=(Kansas State*) OR oo=(Kansas State*) OR ad=(Kansas State*)) OR (og=(Texas Woman's*) OR oo=(Texas Woman's*) OR ad=(Texas Woman's*))</t>
  </si>
  <si>
    <t>(og=(Fordham*) OR oo=(Fordham*) OR ad=(Fordham*)) OR (og=(Northwestern*) OR oo=(Northwestern*) OR ad=(Northwestern*)) OR (og=(Trinity*) OR oo=(Trinity*) OR ad=(Trinity*)) OR (og=(Yale*) OR oo=(Yale*) OR ad=(Yale*))</t>
  </si>
  <si>
    <t>(og=(Coppin State*) OR oo=(Coppin State*) OR ad=(Coppin State*))</t>
  </si>
  <si>
    <t>(og=(Baylor*) OR oo=(Baylor*) OR ad=(Baylor*)) OR (og=(Colorado*) OR oo=(Colorado*) OR ad=(Colorado*))</t>
  </si>
  <si>
    <t>(og=(Columbia*) OR oo=(Columbia*) OR ad=(Columbia*)) OR (og=(Hunter*) OR oo=(Hunter*) OR ad=(Hunter*)) OR (og=(Princeton*) OR oo=(Princeton*) OR ad=(Princeton*)) OR (og=(Rutgers*) OR oo=(Rutgers*) OR ad=(Rutgers*)) OR (og=(Stevens Institute of Technology*) OR oo=(Stevens Institute of Technology*) OR ad=(Stevens Institute of Technology*)) OR (og=(Yeshiva*) OR oo=(Yeshiva*) OR ad=(Yeshiva*))</t>
  </si>
  <si>
    <t>(og=(Coppin State*) OR oo=(Coppin State*) OR ad=(Coppin State*)) OR (og=(Coppin State*) OR oo=(Coppin State*) OR ad=(Coppin State*)) OR ((og=(univ* Maryland*) OR oo=(univ* Maryland*) OR ad=(univ* Maryland*)) AND ad=(College Park)) OR (og=(univ* Roorkee*) OR oo=(univ* Roorkee*) OR ad=(univ* Roorkee*))</t>
  </si>
  <si>
    <t>(og=(Louisiana State*) OR oo=(Louisiana State*) OR ad=(Louisiana State*)) OR (og=(Louisiana State*) OR oo=(Louisiana State*) OR ad=(Louisiana State*)) OR (og=(Punjab*) OR oo=(Punjab*) OR ad=(Punjab*)) OR (og=(Tennessee State*) OR oo=(Tennessee State*) OR ad=(Tennessee State*))</t>
  </si>
  <si>
    <t>(og=(California State*) OR oo=(California State*) OR ad=(California State*)) OR (og=(Duke*) OR oo=(Duke*) OR ad=(Duke*)) OR (og=(Greensboro*) OR oo=(Greensboro*) OR ad=(Greensboro*)) OR (og=(univ* Florida*) OR oo=(univ* Florida*) OR ad=(univ* Florida*)) OR (og=(univ* South Florida*) OR oo=(univ* South Florida*) OR ad=(univ* South Florida*))</t>
  </si>
  <si>
    <t>(og=(Lane*) OR oo=(Lane*) OR ad=(Lane*)) OR (og=(univ* Alabama*) OR oo=(univ* Alabama*) OR ad=(univ* Alabama*))</t>
  </si>
  <si>
    <t>(og=(Punjab*) OR oo=(Punjab*) OR ad=(Punjab*)) OR (og=(Talladega*) OR oo=(Talladega*) OR ad=(Talladega*))</t>
  </si>
  <si>
    <t>(og=(Boise State*) OR oo=(Boise State*) OR ad=(Boise State*)) OR (og=(Coll* Saint Benedict*) OR oo=(Coll* Saint Benedict*) OR ad=(Coll* Saint Benedict*)) OR (og=(Southern Utah*) OR oo=(Southern Utah*) OR ad=(Southern Utah*)) OR ((og=(univ* Notre Dame*) OR oo=(univ* Notre Dame*) OR ad=(univ* Notre Dame*)) AND ad=(Australia)) OR (og=(Washington State*) OR oo=(Washington State*) OR ad=(Washington State*)) OR (og=(Western Washington*) OR oo=(Western Washington*) OR ad=(Western Washington*))</t>
  </si>
  <si>
    <t>(og=(Coll* St. Catherine*) OR oo=(Coll* St. Catherine*) OR ad=(Coll* St. Catherine*)) OR (og=(Coll* St. Thomas*) OR oo=(Coll* St. Thomas*) OR ad=(Coll* St. Thomas*)) OR (og=(Concordia College St. Paul*) OR oo=(Concordia College St. Paul*) OR ad=(Concordia College St. Paul*)) OR (og=(Loyola*) OR oo=(Loyola*) OR ad=(Loyola*)) OR (og=(Metropolitan State*) OR oo=(Metropolitan State*) OR ad=(Metropolitan State*)) OR (og=(Parkland*) OR oo=(Parkland*) OR ad=(Parkland*)) OR ((og=(univ* Illinois*) OR oo=(univ* Illinois*) OR ad=(univ* Illinois*)) AND ad=(Urbana-Champaign))</t>
  </si>
  <si>
    <t>((og=(City College of New York*) OR oo=(City College of New York*) OR ad=(City College of New York*)) AND ad=(Marshak Hall)) OR ((og=(City University of New York*) OR oo=(City University of New York*) OR ad=(City University of New York*)) AND ad=(Marshak Hall)) OR ((og=(CUNY*) OR oo=(CUNY*) OR ad=(CUNY*)) AND ad=(Marshak Hall)) OR ((og=(City University of New York*) OR oo=(City University of New York*) OR ad=(City University of New York*)) AND ad=(City College)) OR ((og=(CUNY*) OR oo=(CUNY*) OR ad=(CUNY*)) AND ad=(City College)) OR (og=(Columbia*) OR oo=(Columbia*) OR ad=(Columbia*)) OR (og=(Rutgers*) OR oo=(Rutgers*) OR ad=(Rutgers*)) OR ((og=(State University of New York*) OR oo=(State University of New York*) OR ad=(State University of New York*)) AND ad=(Buffalo)) OR ((og=(SUNY*) OR oo=(SUNY*) OR ad=(SUNY*)) AND ad=(Buffalo)) OR ((og=(univ* Illinois*) OR oo=(univ* Illinois*) OR ad=(univ* Illinois*)) AND ad=(Chicago))</t>
  </si>
  <si>
    <t>(og=(Florida Atlantic*) OR oo=(Florida Atlantic*) OR ad=(Florida Atlantic*)) OR (og=(univ* Liverpool*) OR oo=(univ* Liverpool*) OR ad=(univ* Liverpool*))</t>
  </si>
  <si>
    <t>(og=(univ* Cincinnati*) OR oo=(univ* Cincinnati*) OR ad=(univ* Cincinnati*))</t>
  </si>
  <si>
    <t>(og=(Macalester*) OR oo=(Macalester*) OR ad=(Macalester*)) OR (og=(Montana State*) OR oo=(Montana State*) OR ad=(Montana State*)) OR (og=(Science Museum of Minnesota*) OR oo=(Science Museum of Minnesota*) OR ad=(Science Museum of Minnesota*)) OR (og=(Stony Brook*) OR oo=(Stony Brook*) OR ad=(Stony Brook*))</t>
  </si>
  <si>
    <t>(og=(Bryn Mawr*) OR oo=(Bryn Mawr*) OR ad=(Bryn Mawr*)) OR (og=(Harvard*) OR oo=(Harvard*) OR ad=(Harvard*)) OR (og=(Princeton*) OR oo=(Princeton*) OR ad=(Princeton*)) OR (og=(univ* California*) OR oo=(univ* California*) OR ad=(univ* California*)) OR (og=(univ* Massachusetts*) OR oo=(univ* Massachusetts*) OR ad=(univ* Massachusetts*))</t>
  </si>
  <si>
    <t>(og=(East Carolina*) OR oo=(East Carolina*) OR ad=(East Carolina*)) OR (og=(Fayetteville State*) OR oo=(Fayetteville State*) OR ad=(Fayetteville State*)) OR (og=(North Carolina State*) OR oo=(North Carolina State*) OR ad=(North Carolina State*))</t>
  </si>
  <si>
    <t>(og=(Beijing Jiao-Tong*) OR oo=(Beijing Jiao-Tong*) OR ad=(Beijing Jiao-Tong*)) OR ((og=(Southern Illinois Univ*) OR oo=(Southern Illinois Univ*) OR ad=(Southern Illinois Univ*)) AND ad=(Edwardsville)) OR (og=(univ* South Florida*) OR oo=(univ* South Florida*) OR ad=(univ* South Florida*))</t>
  </si>
  <si>
    <t>(og=(Iowa State*) OR oo=(Iowa State*) OR ad=(Iowa State*)) OR ((og=(State University of New York*) OR oo=(State University of New York*) OR ad=(State University of New York*)) AND ad=(College of Environmental Science and Forestry)) OR ((og=(SUNY*) OR oo=(SUNY*) OR ad=(SUNY*)) AND ad=(College of Environmental Science and Forestry)) OR (og=(Tokyo*) OR oo=(Tokyo*) OR ad=(Tokyo*))</t>
  </si>
  <si>
    <t>(og=(Howard*) OR oo=(Howard*) OR ad=(Howard*)) OR (og=(Oregon State*) OR oo=(Oregon State*) OR ad=(Oregon State*))</t>
  </si>
  <si>
    <t>(og=(Rowan*) OR oo=(Rowan*) OR ad=(Rowan*)) OR ((og=(Washington Univ*) OR oo=(Washington Univ*) OR ad=(Washington Univ*)) AND ad=(St. Louis))</t>
  </si>
  <si>
    <t>(og=(City University of New York*) OR oo=(City University of New York*) OR ad=(City University of New York*)) OR (og=(CUNY*) OR oo=(CUNY*) OR ad=(CUNY*)) OR ((og=(City University of New York*) OR oo=(City University of New York*) OR ad=(City University of New York*)) AND ad=(Bronx)) OR ((og=(CUNY*) OR oo=(CUNY*) OR ad=(CUNY*)) AND ad=(Bronx)) OR (og=(New York*) OR oo=(New York*) OR ad=(New York*))</t>
  </si>
  <si>
    <t>(og=(Fairfield*) OR oo=(Fairfield*) OR ad=(Fairfield*)) OR ((og=(univ* California*) OR oo=(univ* California*) OR ad=(univ* California*)) AND ad=(Berkeley)) OR (og=(Yale*) OR oo=(Yale*) OR ad=(Yale*))</t>
  </si>
  <si>
    <t>(og=(Clark Atlanta*) OR oo=(Clark Atlanta*) OR ad=(Clark Atlanta*)) OR (og=(Howard*) OR oo=(Howard*) OR ad=(Howard*))</t>
  </si>
  <si>
    <t>(og=(Fisk*) OR oo=(Fisk*) OR ad=(Fisk*)) OR (og=(North Carolina A&amp;T State*) OR oo=(North Carolina A&amp;T State*) OR ad=(North Carolina A&amp;T State*)) OR (og=(North Carolina A&amp;T State*) OR oo=(North Carolina A&amp;T State*) OR ad=(North Carolina A&amp;T State*)) OR (og=(univ* Virginia*) OR oo=(univ* Virginia*) OR ad=(univ* Virginia*)) OR (og=(Virginia Union*) OR oo=(Virginia Union*) OR ad=(Virginia Union*))</t>
  </si>
  <si>
    <t>(og=(Massachusetts Institute of Technology*) OR oo=(Massachusetts Institute of Technology*) OR ad=(Massachusetts Institute of Technology*)) OR ((og=(State University of New York*) OR oo=(State University of New York*) OR ad=(State University of New York*)) AND ad=(Binghamton)) OR ((og=(SUNY*) OR oo=(SUNY*) OR ad=(SUNY*)) AND ad=(Binghamton))</t>
  </si>
  <si>
    <t>(og=(Harvard*) OR oo=(Harvard*) OR ad=(Harvard*)) OR (og=(Massachusetts Institute of Technology*) OR oo=(Massachusetts Institute of Technology*) OR ad=(Massachusetts Institute of Technology*)) OR (og=(univ* COPENHAGEN*) OR oo=(univ* COPENHAGEN*) OR ad=(univ* COPENHAGEN*))</t>
  </si>
  <si>
    <t>(og=(East Carolina*) OR oo=(East Carolina*) OR ad=(East Carolina*)) OR (og=(Furman*) OR oo=(Furman*) OR ad=(Furman*)) OR (og=(North Carolina State*) OR oo=(North Carolina State*) OR ad=(North Carolina State*)) OR (og=(univ* Virginia*) OR oo=(univ* Virginia*) OR ad=(univ* Virginia*))</t>
  </si>
  <si>
    <t>(og=(Monash*) OR oo=(Monash*) OR ad=(Monash*)) OR (og=(Queen's University of Belfast*) OR oo=(Queen's University of Belfast*) OR ad=(Queen's University of Belfast*)) OR (og=(univ* Western Australia*) OR oo=(univ* Western Australia*) OR ad=(univ* Western Australia*)) OR ((og=(univ* Wisconsin*) OR oo=(univ* Wisconsin*) OR ad=(univ* Wisconsin*)) AND ad=(Milwaukee))</t>
  </si>
  <si>
    <t>(og=(Santa Clara*) OR oo=(Santa Clara*) OR ad=(Santa Clara*)) OR (og=(univ* Wyoming*) OR oo=(univ* Wyoming*) OR ad=(univ* Wyoming*)) OR (og=(Yale*) OR oo=(Yale*) OR ad=(Yale*))</t>
  </si>
  <si>
    <t>(og=(Rensselaer Polytechnic Institute*) OR oo=(Rensselaer Polytechnic Institute*) OR ad=(Rensselaer Polytechnic Institute*))</t>
  </si>
  <si>
    <t>(og=(Florida A&amp;M*) OR oo=(Florida A&amp;M*) OR ad=(Florida A&amp;M*)) OR (og=(Florida State*) OR oo=(Florida State*) OR ad=(Florida State*)) OR (og=(Jackson State*) OR oo=(Jackson State*) OR ad=(Jackson State*)) OR (og=(Technical University in Poland*) OR oo=(Technical University in Poland*) OR ad=(Technical University in Poland*)) OR (og=(univ* Florida*) OR oo=(univ* Florida*) OR ad=(univ* Florida*))</t>
  </si>
  <si>
    <t>(og=(Cornell*) OR oo=(Cornell*) OR ad=(Cornell*)) OR (og=(Emerson*) OR oo=(Emerson*) OR ad=(Emerson*)) OR (og=(Fisher*) OR oo=(Fisher*) OR ad=(Fisher*)) OR (og=(Texas A&amp;M International*) OR oo=(Texas A&amp;M International*) OR ad=(Texas A&amp;M International*)) OR (og=(univ* Baltimore*) OR oo=(univ* Baltimore*) OR ad=(univ* Baltimore*)) OR (og=(univ* Kansas*) OR oo=(univ* Kansas*) OR ad=(univ* Kansas*)) OR (og=(univ* Massachusetts*) OR oo=(univ* Massachusetts*) OR ad=(univ* Massachusetts*))</t>
  </si>
  <si>
    <t>(og=(Tennessee State*) OR oo=(Tennessee State*) OR ad=(Tennessee State*)) OR ((og=(univ* Maryland*) OR oo=(univ* Maryland*) OR ad=(univ* Maryland*)) AND ad=(College Park))</t>
  </si>
  <si>
    <t>((og=(California State Univ*) OR oo=(California State Univ*) OR ad=(California State Univ*)) AND ad=(Fullerton)) OR (og=(Georgia Institute of Technology*) OR oo=(Georgia Institute of Technology*) OR ad=(Georgia Institute of Technology*)) OR (og=(Michigan State *) OR oo=(Michigan State *) OR ad=(Michigan State *)) OR (og=(Yonsei*) OR oo=(Yonsei*) OR ad=(Yonsei*))</t>
  </si>
  <si>
    <t>(og=(Czechoslovak Academy of Sciences*) OR oo=(Czechoslovak Academy of Sciences*) OR ad=(Czechoslovak Academy of Sciences*)) OR (og=(Florida Atlantic*) OR oo=(Florida Atlantic*) OR ad=(Florida Atlantic*))</t>
  </si>
  <si>
    <t>(og=(Illinois Institute of Technology*) OR oo=(Illinois Institute of Technology*) OR ad=(Illinois Institute of Technology*)) OR (og=(Ningbo*) OR oo=(Ningbo*) OR ad=(Ningbo*)) OR (og=(univ* Manitoba*) OR oo=(univ* Manitoba*) OR ad=(univ* Manitoba*))</t>
  </si>
  <si>
    <t>(og=(State University of New York, Binghamton*) OR oo=(State University of New York, Binghamton*) OR ad=(State University of New York, Binghamton*)) OR (og=(State University of New York, Binghamton*) OR oo=(State University of New York, Binghamton*) OR ad=(State University of New York, Binghamton*)) OR (og=(Cornell*) OR oo=(Cornell*) OR ad=(Cornell*)) OR (og=(George Washington*) OR oo=(George Washington*) OR ad=(George Washington*)) OR (og=(Hebrew*) OR oo=(Hebrew*) OR ad=(Hebrew*)) OR (og=(Kansas State*) OR oo=(Kansas State*) OR ad=(Kansas State*)) OR (og=(New York*) OR oo=(New York*) OR ad=(New York*)) OR (og=(Stanford*) OR oo=(Stanford*) OR ad=(Stanford*)) OR ((og=(State University of New York*) OR oo=(State University of New York*) OR ad=(State University of New York*)) AND ad=(Binghamton)) OR ((og=(SUNY*) OR oo=(SUNY*) OR ad=(SUNY*)) AND ad=(Binghamton)) OR (og=(State University of New York, Binghamton*) OR oo=(State University of New York, Binghamton*) OR ad=(State University of New York, Binghamton*)) OR (og=(State University of New York, Binghamton*) OR oo=(State University of New York, Binghamton*) OR ad=(State University of New York, Binghamton*)) OR (og=(univ* New Mexico*) OR oo=(univ* New Mexico*) OR ad=(univ* New Mexico*)) OR (og=(Virginia Polytechnic Institute*) OR oo=(Virginia Polytechnic Institute*) OR ad=(Virginia Polytechnic Institute*))</t>
  </si>
  <si>
    <t>(og=(Cary Institute of Ecosystem Studies*) OR oo=(Cary Institute of Ecosystem Studies*) OR ad=(Cary Institute of Ecosystem Studies*)) OR (og=(Cornell*) OR oo=(Cornell*) OR ad=(Cornell*)) OR (og=(Dartmouth*) OR oo=(Dartmouth*) OR ad=(Dartmouth*)) OR ((og=(State University of New York*) OR oo=(State University of New York*) OR ad=(State University of New York*)) AND ad=(New Paltz)) OR ((og=(SUNY*) OR oo=(SUNY*) OR ad=(SUNY*)) AND ad=(New Paltz)) OR (og=(Stroud Water Research Center*) OR oo=(Stroud Water Research Center*) OR ad=(Stroud Water Research Center*)) OR (og=(univ* Maryland*) OR oo=(univ* Maryland*) OR ad=(univ* Maryland*))</t>
  </si>
  <si>
    <t>(og=(Central Michigan*) OR oo=(Central Michigan*) OR ad=(Central Michigan*)) OR (og=(Chung Yuan Christian*) OR oo=(Chung Yuan Christian*) OR ad=(Chung Yuan Christian*)) OR (og=(univ* Arkansas*) OR oo=(univ* Arkansas*) OR ad=(univ* Arkansas*)) OR ((og=(univ* Missouri*) OR oo=(univ* Missouri*) OR ad=(univ* Missouri*)) AND ad=(Columbia))</t>
  </si>
  <si>
    <t>(og=(Colorado*) OR oo=(Colorado*) OR ad=(Colorado*)) OR (og=(univ* Oklahoma*) OR oo=(univ* Oklahoma*) OR ad=(univ* Oklahoma*)) OR (og=(Wake Forest*) OR oo=(Wake Forest*) OR ad=(Wake Forest*))</t>
  </si>
  <si>
    <t>(og=(Centre d’Études Nucléaires de Grenoble*) OR oo=(Centre d’Études Nucléaires de Grenoble*) OR ad=(Centre d’Études Nucléaires de Grenoble*)) OR (og=(Israel Institute of Technology*) OR oo=(Israel Institute of Technology*) OR ad=(Israel Institute of Technology*)) OR (og=(Tokyo Institute of Technology*) OR oo=(Tokyo Institute of Technology*) OR ad=(Tokyo Institute of Technology*)) OR (og=(univ* Bologna*) OR oo=(univ* Bologna*) OR ad=(univ* Bologna*)) OR ((og=(univ* Detroit*) OR oo=(univ* Detroit*) OR ad=(univ* Detroit*)) AND ad=(Mercy)) OR (og=(univ* Florence*) OR oo=(univ* Florence*) OR ad=(univ* Florence*)) OR (og=(Weizmann Institute of Science*) OR oo=(Weizmann Institute of Science*) OR ad=(Weizmann Institute of Science*))</t>
  </si>
  <si>
    <t>(og=(Brigham Young*) OR oo=(Brigham Young*) OR ad=(Brigham Young*)) OR ((og=(univ* California*) OR oo=(univ* California*) OR ad=(univ* California*)) AND ad=(San Diego)) OR (og=(Wake Forest*) OR oo=(Wake Forest*) OR ad=(Wake Forest*))</t>
  </si>
  <si>
    <t>(og=(American Institute of Mathematics*) OR oo=(American Institute of Mathematics*) OR ad=(American Institute of Mathematics*)) OR (og=(Duke*) OR oo=(Duke*) OR ad=(Duke*)) OR (og=(Princeton*) OR oo=(Princeton*) OR ad=(Princeton*)) OR (og=(Stanford*) OR oo=(Stanford*) OR ad=(Stanford*)) OR (og=(univ* Cambridge*) OR oo=(univ* Cambridge*) OR ad=(univ* Cambridge*))</t>
  </si>
  <si>
    <t>(og=(Delaware State*) OR oo=(Delaware State*) OR ad=(Delaware State*)) OR (og=(univ* Illinois*) OR oo=(univ* Illinois*) OR ad=(univ* Illinois*))</t>
  </si>
  <si>
    <t>(og=(Georgia State*) OR oo=(Georgia State*) OR ad=(Georgia State*)) OR (og=(Johns Hopkins*) OR oo=(Johns Hopkins*) OR ad=(Johns Hopkins*))</t>
  </si>
  <si>
    <t>(og=(Iowa State*) OR oo=(Iowa State*) OR ad=(Iowa State*)) OR (og=(North Dakota State*) OR oo=(North Dakota State*) OR ad=(North Dakota State*)) OR (og=(univ* Northern Iowa*) OR oo=(univ* Northern Iowa*) OR ad=(univ* Northern Iowa*)) OR ((og=(univ* Wisconsin*) OR oo=(univ* Wisconsin*) OR ad=(univ* Wisconsin*)) AND ad=(Madison))</t>
  </si>
  <si>
    <t>(og=(Food and Drug Administration*) OR oo=(Food and Drug Administration*) OR ad=(Food and Drug Administration*)) OR (og=(Los Alamos National Laboratory*) OR oo=(Los Alamos National Laboratory*) OR ad=(Los Alamos National Laboratory*)) OR (og=(National Institute of Mental Health*) OR oo=(National Institute of Mental Health*) OR ad=(National Institute of Mental Health*)) OR (og=(U.S. Federal Reserve*) OR oo=(U.S. Federal Reserve*) OR ad=(U.S. Federal Reserve*)) OR ((og=(univ* North Carolina*) OR oo=(univ* North Carolina*) OR ad=(univ* North Carolina*)) AND ad=(Chapel Hill)) OR (og=(univ* Utah*) OR oo=(univ* Utah*) OR ad=(univ* Utah*)) OR (og=(univ* Virginia*) OR oo=(univ* Virginia*) OR ad=(univ* Virginia*))</t>
  </si>
  <si>
    <t>((og=(univ* Illinois*) OR oo=(univ* Illinois*) OR ad=(univ* Illinois*)) AND ad=(Urbana-Champaign)) OR ((og=(univ* Texas*) OR oo=(univ* Texas*) OR ad=(univ* Texas*)) AND ad=(Austin)) OR (og=(univ* Virginia*) OR oo=(univ* Virginia*) OR ad=(univ* Virginia*))</t>
  </si>
  <si>
    <t>((og=(univ* Houston*) OR oo=(univ* Houston*) OR ad=(univ* Houston*)) AND ad=(Clear Lake)) OR (og=(univ* Memphis*) OR oo=(univ* Memphis*) OR ad=(univ* Memphis*))</t>
  </si>
  <si>
    <t>(og=(Brown*) OR oo=(Brown*) OR ad=(Brown*)) OR (og=(Cleveland State*) OR oo=(Cleveland State*) OR ad=(Cleveland State*)) OR (og=(Duke*) OR oo=(Duke*) OR ad=(Duke*)) OR (og=(Florida A&amp;M*) OR oo=(Florida A&amp;M*) OR ad=(Florida A&amp;M*)) OR (og=(Florida State*) OR oo=(Florida State*) OR ad=(Florida State*)) OR (og=(Morehouse*) OR oo=(Morehouse*) OR ad=(Morehouse*)) OR (og=(Oak Ridge National Laboratories*) OR oo=(Oak Ridge National Laboratories*) OR ad=(Oak Ridge National Laboratories*)) OR ((og=(univ* North Carolina*) OR oo=(univ* North Carolina*) OR ad=(univ* North Carolina*)) AND ad=(Chapel Hill))</t>
  </si>
  <si>
    <t>(og=(Cornell*) OR oo=(Cornell*) OR ad=(Cornell*)) OR (og=(Manhattan*) OR oo=(Manhattan*) OR ad=(Manhattan*)) OR ((og=(univ* California*) OR oo=(univ* California*) OR ad=(univ* California*)) AND ad=(Berkeley))</t>
  </si>
  <si>
    <t>((og=(California State Univ*) OR oo=(California State Univ*) OR ad=(California State Univ*)) AND ad=(Fresno)) OR ((og=(California State Univ*) OR oo=(California State Univ*) OR ad=(California State Univ*)) AND ad=(Northridge)) OR (og=(Oregon State*) OR oo=(Oregon State*) OR ad=(Oregon State*)) OR (og=(San Diego State*) OR oo=(San Diego State*) OR ad=(San Diego State*)) OR ((og=(univ* California*) OR oo=(univ* California*) OR ad=(univ* California*)) AND ad=(Santa Barbara)) OR (og=(univ* Washington*) OR oo=(univ* Washington*) OR ad=(univ* Washington*)) OR (og=(Western Washington*) OR oo=(Western Washington*) OR ad=(Western Washington*))</t>
  </si>
  <si>
    <t>(og=(Colorado State*) OR oo=(Colorado State*) OR ad=(Colorado State*)) OR (og=(Murray State*) OR oo=(Murray State*) OR ad=(Murray State*)) OR (og=(Ohio State*) OR oo=(Ohio State*) OR ad=(Ohio State*)) OR (og=(univ* Louisville*) OR oo=(univ* Louisville*) OR ad=(univ* Louisville*)) OR (og=(West Virginia*) OR oo=(West Virginia*) OR ad=(West Virginia*))</t>
  </si>
  <si>
    <t>((og=(City University of New York*) OR oo=(City University of New York*) OR ad=(City University of New York*)) AND ad=(Staten Island)) OR ((og=(CUNY*) OR oo=(CUNY*) OR ad=(CUNY*)) AND ad=(Staten Island)) OR (og=(Tshing Hua*) OR oo=(Tshing Hua*) OR ad=(Tshing Hua*)) OR (og=(Tsinghua*) OR oo=(Tsinghua*) OR ad=(Tsinghua*))</t>
  </si>
  <si>
    <t>(og=(Bowling Green State*) OR oo=(Bowling Green State*) OR ad=(Bowling Green State*)) OR (og=(Fudan*) OR oo=(Fudan*) OR ad=(Fudan*)) OR (og=(Temple*) OR oo=(Temple*) OR ad=(Temple*))</t>
  </si>
  <si>
    <t>(og=(Saint Louis*) OR oo=(Saint Louis*) OR ad=(Saint Louis*)) OR ((og=(univ* Maryland*) OR oo=(univ* Maryland*) OR ad=(univ* Maryland*)) AND ad=(Eastern Shore))</t>
  </si>
  <si>
    <t>(og=(Bryn Mawr*) OR oo=(Bryn Mawr*) OR ad=(Bryn Mawr*)) OR (og=(Johns Hopkins*) OR oo=(Johns Hopkins*) OR ad=(Johns Hopkins*)) OR (og=(Kansai*) OR oo=(Kansai*) OR ad=(Kansai*)) OR (og=(Moscow Institute of Physics &amp; Technology*) OR oo=(Moscow Institute of Physics &amp; Technology*) OR ad=(Moscow Institute of Physics &amp; Technology*)) OR (og=(NASA Space Sciences Laboratory*) OR oo=(NASA Space Sciences Laboratory*) OR ad=(NASA Space Sciences Laboratory*)) OR (og=(Stanford*) OR oo=(Stanford*) OR ad=(Stanford*)) OR ((og=(univ* California*) OR oo=(univ* California*) OR ad=(univ* California*)) AND ad=(Berkeley)) OR ((og=(univ* Maryland*) OR oo=(univ* Maryland*) OR ad=(univ* Maryland*)) AND ad=(College Park)) OR (og=(univ* Warwick*) OR oo=(univ* Warwick*) OR ad=(univ* Warwick*))</t>
  </si>
  <si>
    <t>(og=(Bryn Mawr*) OR oo=(Bryn Mawr*) OR ad=(Bryn Mawr*)) OR ((og=(univ* California*) OR oo=(univ* California*) OR ad=(univ* California*)) AND ad=(Berkeley)) OR ((og=(univ* California*) OR oo=(univ* California*) OR ad=(univ* California*)) AND ad=(San Diego)) OR (og=(univ* Pennsylvania*) OR oo=(univ* Pennsylvania*) OR ad=(univ* Pennsylvania*))</t>
  </si>
  <si>
    <t>(og=(Coll* William and Mary*) OR oo=(Coll* William and Mary*) OR ad=(Coll* William and Mary*)) OR (og=(Illinois State*) OR oo=(Illinois State*) OR ad=(Illinois State*)) OR (og=(Oak Ridge National Laboratories*) OR oo=(Oak Ridge National Laboratories*) OR ad=(Oak Ridge National Laboratories*)) OR (og=(Temple*) OR oo=(Temple*) OR ad=(Temple*)) OR ((og=(univ* Wisconsin*) OR oo=(univ* Wisconsin*) OR ad=(univ* Wisconsin*)) AND ad=(Madison)) OR (og=(Washington*) OR oo=(Washington*) OR ad=(Washington*))</t>
  </si>
  <si>
    <t>(og=(Bowling Green State*) OR oo=(Bowling Green State*) OR ad=(Bowling Green State*)) OR (og=(univ* Sydney*) OR oo=(univ* Sydney*) OR ad=(univ* Sydney*))</t>
  </si>
  <si>
    <t>(og=(Brigham Young*) OR oo=(Brigham Young*) OR ad=(Brigham Young*)) OR (og=(Hangzhou*) OR oo=(Hangzhou*) OR ad=(Hangzhou*)) OR ((og=(univ* Texas*) OR oo=(univ* Texas*) OR ad=(univ* Texas*)) AND ad=(San Antonio)) OR (og=(Yunnan*) OR oo=(Yunnan*) OR ad=(Yunnan*))</t>
  </si>
  <si>
    <t>(og=(univ* Cincinnati*) OR oo=(univ* Cincinnati*) OR ad=(univ* Cincinnati*)) OR ((og=(univ* Maryland*) OR oo=(univ* Maryland*) OR ad=(univ* Maryland*)) AND ad=(Eastern Shore))</t>
  </si>
  <si>
    <t>(og=(Oklahoma State*) OR oo=(Oklahoma State*) OR ad=(Oklahoma State*)) OR (og=(Rockefeller*) OR oo=(Rockefeller*) OR ad=(Rockefeller*)) OR (og=(univ* Houston*) OR oo=(univ* Houston*) OR ad=(univ* Houston*)) OR ((og=(univ* Texas*) OR oo=(univ* Texas*) OR ad=(univ* Texas*)) AND ad=(Austin)) OR (og=(Worcester Polytechnic Institute*) OR oo=(Worcester Polytechnic Institute*) OR ad=(Worcester Polytechnic Institute*))</t>
  </si>
  <si>
    <t>(og=(Reed*) OR oo=(Reed*) OR ad=(Reed*)) OR ((og=(univ* California*) OR oo=(univ* California*) OR ad=(univ* California*)) AND ad=(Los Angeles)) OR (og=(Yale*) OR oo=(Yale*) OR ad=(Yale*))</t>
  </si>
  <si>
    <t>(og=(Creighton*) OR oo=(Creighton*) OR ad=(Creighton*)) OR (og=(Saint Louis*) OR oo=(Saint Louis*) OR ad=(Saint Louis*))</t>
  </si>
  <si>
    <t>((og=(California State Univ*) OR oo=(California State Univ*) OR ad=(California State Univ*)) AND ad=(Sacramento)) OR ((og=(univ* California*) OR oo=(univ* California*) OR ad=(univ* California*)) AND ad=(San Diego))</t>
  </si>
  <si>
    <t>(og=(Michigan Technological*) OR oo=(Michigan Technological*) OR ad=(Michigan Technological*)) OR (og=(North-West Institute of Architecture Engineering*) OR oo=(North-West Institute of Architecture Engineering*) OR ad=(North-West Institute of Architecture Engineering*)) OR (og=(Tshing Hua*) OR oo=(Tshing Hua*) OR ad=(Tshing Hua*)) OR (og=(Tsinghua*) OR oo=(Tsinghua*) OR ad=(Tsinghua*)) OR (og=(univ* South Florida*) OR oo=(univ* South Florida*) OR ad=(univ* South Florida*))</t>
  </si>
  <si>
    <t>(og=(El Paso Community*) OR oo=(El Paso Community*) OR ad=(El Paso Community*)) OR (og=(Fort Hays State*) OR oo=(Fort Hays State*) OR ad=(Fort Hays State*)) OR (og=(Indio Mountains Research Station*) OR oo=(Indio Mountains Research Station*) OR ad=(Indio Mountains Research Station*)) OR (og=(Texas A&amp;M*) OR oo=(Texas A&amp;M*) OR ad=(Texas A&amp;M*)) OR ((og=(univ* Texas*) OR oo=(univ* Texas*) OR ad=(univ* Texas*)) AND ad=(El Paso))</t>
  </si>
  <si>
    <t>(og=(Austin*) OR oo=(Austin*) OR ad=(Austin*)) OR (og=(Princeton*) OR oo=(Princeton*) OR ad=(Princeton*)) OR ((og=(univ* Nebraska*) OR oo=(univ* Nebraska*) OR ad=(univ* Nebraska*)) AND ad=(Lincoln)) OR (og=(univ* Tulsa*) OR oo=(univ* Tulsa*) OR ad=(univ* Tulsa*)) OR (og=(univ* Washington*) OR oo=(univ* Washington*) OR ad=(univ* Washington*)) OR (og=(Yale*) OR oo=(Yale*) OR ad=(Yale*))</t>
  </si>
  <si>
    <t>(og=(Mount Saint Mary's*) OR oo=(Mount Saint Mary's*) OR ad=(Mount Saint Mary's*)) OR ((og=(univ* California*) OR oo=(univ* California*) OR ad=(univ* California*)) AND ad=(Irvine)) OR ((og=(univ* California*) OR oo=(univ* California*) OR ad=(univ* California*)) AND ad=(Los Angeles)) OR (og=(univ* Rochester*) OR oo=(univ* Rochester*) OR ad=(univ* Rochester*))</t>
  </si>
  <si>
    <t>(og=(Massachusetts Institute of Technology*) OR oo=(Massachusetts Institute of Technology*) OR ad=(Massachusetts Institute of Technology*)) OR (og=(Princeton*) OR oo=(Princeton*) OR ad=(Princeton*)) OR (og=(Tshing Hua*) OR oo=(Tshing Hua*) OR ad=(Tshing Hua*)) OR (og=(Tsinghua*) OR oo=(Tsinghua*) OR ad=(Tsinghua*)) OR (og=(univ* Connecticut*) OR oo=(univ* Connecticut*) OR ad=(univ* Connecticut*))</t>
  </si>
  <si>
    <t>(og=(Massachusetts Institute of Technology*) OR oo=(Massachusetts Institute of Technology*) OR ad=(Massachusetts Institute of Technology*)) OR (og=(National Chung-Hsing*) OR oo=(National Chung-Hsing*) OR ad=(National Chung-Hsing*)) OR (og=(New Mexico Institute of Mining and Technology*) OR oo=(New Mexico Institute of Mining and Technology*) OR ad=(New Mexico Institute of Mining and Technology*)) OR (og=(Vanderbilt*) OR oo=(Vanderbilt*) OR ad=(Vanderbilt*))</t>
  </si>
  <si>
    <t>(og=(univ* Alabama*) OR oo=(univ* Alabama*) OR ad=(univ* Alabama*)) OR (og=(Yale*) OR oo=(Yale*) OR ad=(Yale*)) OR (og=(Yeshiva*) OR oo=(Yeshiva*) OR ad=(Yeshiva*))</t>
  </si>
  <si>
    <t>(og=(Exxon Research &amp; Engineering Co*) OR oo=(Exxon Research &amp; Engineering Co*) OR ad=(Exxon Research &amp; Engineering Co*)) OR (og=(Purdue*) OR oo=(Purdue*) OR ad=(Purdue*)) OR (og=(univ* Georgia*) OR oo=(univ* Georgia*) OR ad=(univ* Georgia*)) OR (og=(univ* London*) OR oo=(univ* London*) OR ad=(univ* London*))</t>
  </si>
  <si>
    <t>(og=(Caltech*) OR oo=(Caltech*) OR ad=(Caltech*)) OR (og=(Drake*) OR oo=(Drake*) OR ad=(Drake*)) OR (og=(George Washington*) OR oo=(George Washington*) OR ad=(George Washington*)) OR (og=(Proteomics*) OR oo=(Proteomics*) OR ad=(Proteomics*)) OR ((og=(univ* California*) OR oo=(univ* California*) OR ad=(univ* California*)) AND ad=(Los Angeles)) OR ((og=(univ* California*) OR oo=(univ* California*) OR ad=(univ* California*)) AND ad=(Los Angeles)) OR (og=(univ* Minnesota*) OR oo=(univ* Minnesota*) OR ad=(univ* Minnesota*))</t>
  </si>
  <si>
    <t>(og=(Illinois Institute of Technology*) OR oo=(Illinois Institute of Technology*) OR ad=(Illinois Institute of Technology*)) OR (og=(Purdue*) OR oo=(Purdue*) OR ad=(Purdue*)) OR ((og=(univ* California*) OR oo=(univ* California*) OR ad=(univ* California*)) AND ad=(San Diego)) OR (og=(univ* Washington*) OR oo=(univ* Washington*) OR ad=(univ* Washington*))</t>
  </si>
  <si>
    <t>(og=(Smith*) OR oo=(Smith*) OR ad=(Smith*)) OR ((og=(univ* Maryland*) OR oo=(univ* Maryland*) OR ad=(univ* Maryland*)) AND ad=(College Park)) OR (og=(univ* South Carolina*) OR oo=(univ* South Carolina*) OR ad=(univ* South Carolina*)) OR (og=(univ* Virginia*) OR oo=(univ* Virginia*) OR ad=(univ* Virginia*))</t>
  </si>
  <si>
    <t>(og=(Cold Spring Harbor Laboratory*) OR oo=(Cold Spring Harbor Laboratory*) OR ad=(Cold Spring Harbor Laboratory*)) OR (og=(East Carolina*) OR oo=(East Carolina*) OR ad=(East Carolina*)) OR (og=(Maruha Co*) OR oo=(Maruha Co*) OR ad=(Maruha Co*)) OR (og=(Tokyo*) OR oo=(Tokyo*) OR ad=(Tokyo*)) OR ((og=(univ* Texas*) OR oo=(univ* Texas*) OR ad=(univ* Texas*)) AND ad=(Austin)) OR (og=(Xiamen*) OR oo=(Xiamen*) OR ad=(Xiamen*))</t>
  </si>
  <si>
    <t>(og=(Beijing Polytechnic*) OR oo=(Beijing Polytechnic*) OR ad=(Beijing Polytechnic*)) OR (og=(Chinese Academy of Sciences*) OR oo=(Chinese Academy of Sciences*) OR ad=(Chinese Academy of Sciences*)) OR (og=(Hubei Institute for Nationalities*) OR oo=(Hubei Institute for Nationalities*) OR ad=(Hubei Institute for Nationalities*)) OR (og=(Memorial University of Newfoundland*) OR oo=(Memorial University of Newfoundland*) OR ad=(Memorial University of Newfoundland*)) OR (og=(Purdue*) OR oo=(Purdue*) OR ad=(Purdue*)) OR ((og=(Southern Illinois Univ*) OR oo=(Southern Illinois Univ*) OR ad=(Southern Illinois Univ*)) AND ad=(Carbondale))</t>
  </si>
  <si>
    <t>(og=(Howard*) OR oo=(Howard*) OR ad=(Howard*)) OR ((og=(univ* California*) OR oo=(univ* California*) OR ad=(univ* California*)) AND ad=(Berkeley))</t>
  </si>
  <si>
    <t>(og=(Chinese Academy of Sciences*) OR oo=(Chinese Academy of Sciences*) OR ad=(Chinese Academy of Sciences*)) OR (og=(Oakland*) OR oo=(Oakland*) OR ad=(Oakland*))</t>
  </si>
  <si>
    <t>(og=(Chinese Academy of Sciences*) OR oo=(Chinese Academy of Sciences*) OR ad=(Chinese Academy of Sciences*)) OR (og=(North Dakota State*) OR oo=(North Dakota State*) OR ad=(North Dakota State*)) OR (og=(univ* Alabama*) OR oo=(univ* Alabama*) OR ad=(univ* Alabama*)) OR (og=(Wuhan*) OR oo=(Wuhan*) OR ad=(Wuhan*))</t>
  </si>
  <si>
    <t>(og=(Cambridge*) OR oo=(Cambridge*) OR ad=(Cambridge*)) OR (og=(Rice*) OR oo=(Rice*) OR ad=(Rice*)) OR ((og=(univ* California*) OR oo=(univ* California*) OR ad=(univ* California*)) AND ad=(Berkeley)) OR (og=(univ* Chicago*) OR oo=(univ* Chicago*) OR ad=(univ* Chicago*)) OR (og=(Wellesley*) OR oo=(Wellesley*) OR ad=(Wellesley*))</t>
  </si>
  <si>
    <t>(og=(Arizona State*) OR oo=(Arizona State*) OR ad=(Arizona State*)) OR (og=(Bates*) OR oo=(Bates*) OR ad=(Bates*)) OR (og=(Columbia*) OR oo=(Columbia*) OR ad=(Columbia*)) OR (og=(Tulane*) OR oo=(Tulane*) OR ad=(Tulane*)) OR (og=(Villanova*) OR oo=(Villanova*) OR ad=(Villanova*)) OR (og=(Yale*) OR oo=(Yale*) OR ad=(Yale*))</t>
  </si>
  <si>
    <t>(og=(Australian National*) OR oo=(Australian National*) OR ad=(Australian National*)) OR (og=(Macquarie*) OR oo=(Macquarie*) OR ad=(Macquarie*)) OR (og=(univ* Arizona*) OR oo=(univ* Arizona*) OR ad=(univ* Arizona*)) OR ((og=(univ* California*) OR oo=(univ* California*) OR ad=(univ* California*)) AND ad=(Davis)) OR (og=(univ* Miami*) OR oo=(univ* Miami*) OR ad=(univ* Miami*))</t>
  </si>
  <si>
    <t>(og=(Idaho State*) OR oo=(Idaho State*) OR ad=(Idaho State*)) OR (og=(Nebraska Wesleyan*) OR oo=(Nebraska Wesleyan*) OR ad=(Nebraska Wesleyan*)) OR (og=(Rocky Mountain Biological Laboratory*) OR oo=(Rocky Mountain Biological Laboratory*) OR ad=(Rocky Mountain Biological Laboratory*)) OR ((og=(univ* California*) OR oo=(univ* California*) OR ad=(univ* California*)) AND ad=(Riverside)) OR (og=(univ* Miami*) OR oo=(univ* Miami*) OR ad=(univ* Miami*)) OR (og=(univ* Oklahoma*) OR oo=(univ* Oklahoma*) OR ad=(univ* Oklahoma*)) OR ((og=(univ* Wisconsin*) OR oo=(univ* Wisconsin*) OR ad=(univ* Wisconsin*)) AND ad=(Madison)) OR ((og=(univ* Wisconsin*) OR oo=(univ* Wisconsin*) OR ad=(univ* Wisconsin*)) AND ad=(Madison))</t>
  </si>
  <si>
    <t>(og=(Columbia*) OR oo=(Columbia*) OR ad=(Columbia*)) OR (og=(National Taiwan*) OR oo=(National Taiwan*) OR ad=(National Taiwan*)) OR (og=(Stanford*) OR oo=(Stanford*) OR ad=(Stanford*))</t>
  </si>
  <si>
    <t>(og=(Beijing Institute of Technology*) OR oo=(Beijing Institute of Technology*) OR ad=(Beijing Institute of Technology*)) OR (og=(China Agricultural*) OR oo=(China Agricultural*) OR ad=(China Agricultural*)) OR (og=(National Center for Health Statistics*) OR oo=(National Center for Health Statistics*) OR ad=(National Center for Health Statistics*)) OR (og=(National Institutes of Health*) OR oo=(National Institutes of Health*) OR ad=(National Institutes of Health*)) OR (og=(univ* Maryland*) OR oo=(univ* Maryland*) OR ad=(univ* Maryland*)) OR ((og=(univ* Nebraska*) OR oo=(univ* Nebraska*) OR ad=(univ* Nebraska*)) AND ad=(Lincoln)) OR (og=(univ* Texas*) OR oo=(univ* Texas*) OR ad=(univ* Texas*)) OR ((og=(univ* Texas*) OR oo=(univ* Texas*) OR ad=(univ* Texas*)) AND ad=(Arlington)) OR (og=(WESTAT*) OR oo=(WESTAT*) OR ad=(WESTAT*))</t>
  </si>
  <si>
    <t>(og=(Brookhaven National Laboratory*) OR oo=(Brookhaven National Laboratory*) OR ad=(Brookhaven National Laboratory*)) OR (og=(Center for Structural Biology*) OR oo=(Center for Structural Biology*) OR ad=(Center for Structural Biology*)) OR (og=(Lawrence Berkeley National Laboratory*) OR oo=(Lawrence Berkeley National Laboratory*) OR ad=(Lawrence Berkeley National Laboratory*)) OR ((og=(State University of New York*) OR oo=(State University of New York*) OR ad=(State University of New York*)) AND ad=(Stony Brook)) OR ((og=(SUNY*) OR oo=(SUNY*) OR ad=(SUNY*)) AND ad=(Stony Brook)) OR (og=(univ* Science &amp; Technology Beijing*) OR oo=(univ* Science &amp; Technology Beijing*) OR ad=(univ* Science &amp; Technology Beijing*)) OR (og=(Wuhan*) OR oo=(Wuhan*) OR ad=(Wuhan*))</t>
  </si>
  <si>
    <t>(og=(Chinese Academy of Sciences*) OR oo=(Chinese Academy of Sciences*) OR ad=(Chinese Academy of Sciences*)) OR (og=(Hefei University of Technology*) OR oo=(Hefei University of Technology*) OR ad=(Hefei University of Technology*)) OR (og=(Iowa State*) OR oo=(Iowa State*) OR ad=(Iowa State*)) OR (og=(Northwestern*) OR oo=(Northwestern*) OR ad=(Northwestern*)) OR ((og=(univ* California*) OR oo=(univ* California*) OR ad=(univ* California*)) AND ad=(Berkeley))</t>
  </si>
  <si>
    <t>(og=(Nanchang*) OR oo=(Nanchang*) OR ad=(Nanchang*)) OR (og=(Nankai*) OR oo=(Nankai*) OR ad=(Nankai*)) OR (og=(univ* Alabama*) OR oo=(univ* Alabama*) OR ad=(univ* Alabama*)) OR ((og=(univ* California*) OR oo=(univ* California*) OR ad=(univ* California*)) AND ad=(Santa Barbara)) OR (og=(univ* Chicago*) OR oo=(univ* Chicago*) OR ad=(univ* Chicago*)) OR (og=(univ* Michigan*) OR oo=(univ* Michigan*) OR ad=(univ* Michigan*)) OR ((og=(univ* Nevada*) OR oo=(univ* Nevada*) OR ad=(univ* Nevada*)) AND ad=(Reno))</t>
  </si>
  <si>
    <t>(og=(Georgia Institute of Technology*) OR oo=(Georgia Institute of Technology*) OR ad=(Georgia Institute of Technology*)) OR (og=(Johns Hopkins*) OR oo=(Johns Hopkins*) OR ad=(Johns Hopkins*)) OR (og=(National Science Council*) OR oo=(National Science Council*) OR ad=(National Science Council*)) OR (og=(National Taiwan*) OR oo=(National Taiwan*) OR ad=(National Taiwan*)) OR ((og=(univ* California*) OR oo=(univ* California*) OR ad=(univ* California*)) AND ad=(Berkeley))</t>
  </si>
  <si>
    <t>(og=(Seoul National*) OR oo=(Seoul National*) OR ad=(Seoul National*)) OR (og=(univ* Michigan*) OR oo=(univ* Michigan*) OR ad=(univ* Michigan*)) OR (og=(univ* Toledo*) OR oo=(univ* Toledo*) OR ad=(univ* Toledo*))</t>
  </si>
  <si>
    <t>University of District of Columbia</t>
  </si>
  <si>
    <t>univ* District of Columbia</t>
  </si>
  <si>
    <t>(og=(univ* District of Columbia*) OR oo=(univ* District of Columbia*) OR ad=(univ* District of Columbia*))</t>
  </si>
  <si>
    <t>YBach</t>
  </si>
  <si>
    <t>YBirth</t>
  </si>
  <si>
    <t>PubY</t>
  </si>
  <si>
    <t>Y QUERY</t>
  </si>
  <si>
    <t xml:space="preserve"> AND (PY=(1970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t>
  </si>
  <si>
    <t xml:space="preserve"> AND (PY=(1971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t>
  </si>
  <si>
    <t xml:space="preserve"> AND (PY=(1969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t>
  </si>
  <si>
    <t xml:space="preserve"> AND (PY=(1956 OR 1957 OR 1958 OR 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t>
  </si>
  <si>
    <t xml:space="preserve"> AND (PY=(1987 OR 1988 OR 1989 OR 1990 OR 1991 OR 1992 OR 1993 OR 1994 OR 1995 OR 1996 OR 1997 OR 1998 OR 1999 OR 2000 OR 2001 OR 2002 OR 2003 OR 2004 OR 2005 OR 2006 OR 2007 OR 2008 OR 2009 OR 2010 OR 2011 OR 2012 OR 2013))</t>
  </si>
  <si>
    <t xml:space="preserve"> AND (PY=(1993 OR 1994 OR 1995 OR 1996 OR 1997 OR 1998 OR 1999 OR 2000 OR 2001 OR 2002 OR 2003 OR 2004 OR 2005 OR 2006 OR 2007 OR 2008 OR 2009 OR 2010 OR 2011 OR 2012 OR 2013))</t>
  </si>
  <si>
    <t xml:space="preserve"> AND (PY=(1997 OR 1998 OR 1999 OR 2000 OR 2001 OR 2002 OR 2003 OR 2004 OR 2005 OR 2006 OR 2007 OR 2008 OR 2009 OR 2010 OR 2011 OR 2012 OR 2013))</t>
  </si>
  <si>
    <t xml:space="preserve"> AND (PY=(1996 OR 1997 OR 1998 OR 1999 OR 2000 OR 2001 OR 2002 OR 2003 OR 2004 OR 2005 OR 2006 OR 2007 OR 2008 OR 2009 OR 2010 OR 2011 OR 2012 OR 2013))</t>
  </si>
  <si>
    <t xml:space="preserve"> AND (PY=(1958 OR 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t>
  </si>
  <si>
    <t xml:space="preserve"> AND (PY=(1984 OR 1985 OR 1986 OR 1987 OR 1988 OR 1989 OR 1990 OR 1991 OR 1992 OR 1993 OR 1994 OR 1995 OR 1996 OR 1997 OR 1998 OR 1999 OR 2000 OR 2001 OR 2002 OR 2003 OR 2004 OR 2005 OR 2006 OR 2007 OR 2008 OR 2009 OR 2010 OR 2011 OR 2012 OR 2013))</t>
  </si>
  <si>
    <t xml:space="preserve"> AND (PY=(1974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t>
  </si>
  <si>
    <t xml:space="preserve"> AND (PY=(1980 OR 1981 OR 1982 OR 1983 OR 1984 OR 1985 OR 1986 OR 1987 OR 1988 OR 1989 OR 1990 OR 1991 OR 1992 OR 1993 OR 1994 OR 1995 OR 1996 OR 1997 OR 1998 OR 1999 OR 2000 OR 2001 OR 2002 OR 2003 OR 2004 OR 2005 OR 2006 OR 2007 OR 2008 OR 2009 OR 2010 OR 2011 OR 2012 OR 2013))</t>
  </si>
  <si>
    <t xml:space="preserve"> AND (PY=(1991 OR 1992 OR 1993 OR 1994 OR 1995 OR 1996 OR 1997 OR 1998 OR 1999 OR 2000 OR 2001 OR 2002 OR 2003 OR 2004 OR 2005 OR 2006 OR 2007 OR 2008 OR 2009 OR 2010 OR 2011 OR 2012 OR 2013))</t>
  </si>
  <si>
    <t xml:space="preserve"> AND (PY=(1988 OR 1989 OR 1990 OR 1991 OR 1992 OR 1993 OR 1994 OR 1995 OR 1996 OR 1997 OR 1998 OR 1999 OR 2000 OR 2001 OR 2002 OR 2003 OR 2004 OR 2005 OR 2006 OR 2007 OR 2008 OR 2009 OR 2010 OR 2011 OR 2012 OR 2013))</t>
  </si>
  <si>
    <t xml:space="preserve"> AND (PY=(1981 OR 1982 OR 1983 OR 1984 OR 1985 OR 1986 OR 1987 OR 1988 OR 1989 OR 1990 OR 1991 OR 1992 OR 1993 OR 1994 OR 1995 OR 1996 OR 1997 OR 1998 OR 1999 OR 2000 OR 2001 OR 2002 OR 2003 OR 2004 OR 2005 OR 2006 OR 2007 OR 2008 OR 2009 OR 2010 OR 2011 OR 2012 OR 2013))</t>
  </si>
  <si>
    <t xml:space="preserve"> AND (PY=(1990 OR 1991 OR 1992 OR 1993 OR 1994 OR 1995 OR 1996 OR 1997 OR 1998 OR 1999 OR 2000 OR 2001 OR 2002 OR 2003 OR 2004 OR 2005 OR 2006 OR 2007 OR 2008 OR 2009 OR 2010 OR 2011 OR 2012 OR 2013))</t>
  </si>
  <si>
    <t xml:space="preserve"> AND (PY=(1968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t>
  </si>
  <si>
    <t xml:space="preserve"> AND (PY=(2002 OR 2003 OR 2004 OR 2005 OR 2006 OR 2007 OR 2008 OR 2009 OR 2010 OR 2011 OR 2012 OR 2013))</t>
  </si>
  <si>
    <t xml:space="preserve"> AND (PY=(1959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t>
  </si>
  <si>
    <t xml:space="preserve"> AND (PY=(1957 OR 1958 OR 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t>
  </si>
  <si>
    <t xml:space="preserve"> AND (PY=(1992 OR 1993 OR 1994 OR 1995 OR 1996 OR 1997 OR 1998 OR 1999 OR 2000 OR 2001 OR 2002 OR 2003 OR 2004 OR 2005 OR 2006 OR 2007 OR 2008 OR 2009 OR 2010 OR 2011 OR 2012 OR 2013))</t>
  </si>
  <si>
    <t xml:space="preserve"> AND (PY=(1995 OR 1996 OR 1997 OR 1998 OR 1999 OR 2000 OR 2001 OR 2002 OR 2003 OR 2004 OR 2005 OR 2006 OR 2007 OR 2008 OR 2009 OR 2010 OR 2011 OR 2012 OR 2013))</t>
  </si>
  <si>
    <t xml:space="preserve"> AND (PY=(1989 OR 1990 OR 1991 OR 1992 OR 1993 OR 1994 OR 1995 OR 1996 OR 1997 OR 1998 OR 1999 OR 2000 OR 2001 OR 2002 OR 2003 OR 2004 OR 2005 OR 2006 OR 2007 OR 2008 OR 2009 OR 2010 OR 2011 OR 2012 OR 2013))</t>
  </si>
  <si>
    <t xml:space="preserve"> AND (PY=(1979 OR 1980 OR 1981 OR 1982 OR 1983 OR 1984 OR 1985 OR 1986 OR 1987 OR 1988 OR 1989 OR 1990 OR 1991 OR 1992 OR 1993 OR 1994 OR 1995 OR 1996 OR 1997 OR 1998 OR 1999 OR 2000 OR 2001 OR 2002 OR 2003 OR 2004 OR 2005 OR 2006 OR 2007 OR 2008 OR 2009 OR 2010 OR 2011 OR 2012 OR 2013))</t>
  </si>
  <si>
    <t xml:space="preserve"> AND (PY=(1994 OR 1995 OR 1996 OR 1997 OR 1998 OR 1999 OR 2000 OR 2001 OR 2002 OR 2003 OR 2004 OR 2005 OR 2006 OR 2007 OR 2008 OR 2009 OR 2010 OR 2011 OR 2012 OR 2013))</t>
  </si>
  <si>
    <t xml:space="preserve"> AND (PY=(1985 OR 1986 OR 1987 OR 1988 OR 1989 OR 1990 OR 1991 OR 1992 OR 1993 OR 1994 OR 1995 OR 1996 OR 1997 OR 1998 OR 1999 OR 2000 OR 2001 OR 2002 OR 2003 OR 2004 OR 2005 OR 2006 OR 2007 OR 2008 OR 2009 OR 2010 OR 2011 OR 2012 OR 2013))</t>
  </si>
  <si>
    <t xml:space="preserve"> AND (PY=(1972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t>
  </si>
  <si>
    <t xml:space="preserve"> AND (PY=(1973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t>
  </si>
  <si>
    <t xml:space="preserve"> AND (PY=(1954 OR 1955 OR 1956 OR 1957 OR 1958 OR 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t>
  </si>
  <si>
    <t xml:space="preserve"> AND (PY=(1982 OR 1983 OR 1984 OR 1985 OR 1986 OR 1987 OR 1988 OR 1989 OR 1990 OR 1991 OR 1992 OR 1993 OR 1994 OR 1995 OR 1996 OR 1997 OR 1998 OR 1999 OR 2000 OR 2001 OR 2002 OR 2003 OR 2004 OR 2005 OR 2006 OR 2007 OR 2008 OR 2009 OR 2010 OR 2011 OR 2012 OR 2013))</t>
  </si>
  <si>
    <t xml:space="preserve"> AND (PY=(1986 OR 1987 OR 1988 OR 1989 OR 1990 OR 1991 OR 1992 OR 1993 OR 1994 OR 1995 OR 1996 OR 1997 OR 1998 OR 1999 OR 2000 OR 2001 OR 2002 OR 2003 OR 2004 OR 2005 OR 2006 OR 2007 OR 2008 OR 2009 OR 2010 OR 2011 OR 2012 OR 2013))</t>
  </si>
  <si>
    <t xml:space="preserve"> AND (PY=(2003 OR 2004 OR 2005 OR 2006 OR 2007 OR 2008 OR 2009 OR 2010 OR 2011 OR 2012 OR 2013))</t>
  </si>
  <si>
    <t xml:space="preserve"> AND (PY=(1955 OR 1956 OR 1957 OR 1958 OR 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t>
  </si>
  <si>
    <t xml:space="preserve"> AND (PY=(1998 OR 1999 OR 2000 OR 2001 OR 2002 OR 2003 OR 2004 OR 2005 OR 2006 OR 2007 OR 2008 OR 2009 OR 2010 OR 2011 OR 2012 OR 2013))</t>
  </si>
  <si>
    <t xml:space="preserve"> AND (PY=(1952 OR 1953 OR 1954 OR 1955 OR 1956 OR 1957 OR 1958 OR 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t>
  </si>
  <si>
    <t xml:space="preserve"> AND (PY=(2000 OR 2001 OR 2002 OR 2003 OR 2004 OR 2005 OR 2006 OR 2007 OR 2008 OR 2009 OR 2010 OR 2011 OR 2012 OR 2013))</t>
  </si>
  <si>
    <t xml:space="preserve"> AND (PY=(1978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t>
  </si>
  <si>
    <t>(og=(Chinese Academy of Sciences*) OR oo=(Chinese Academy of Sciences*) OR ad=(Chinese Academy of Sciences*)) OR (og=(Hong Kong Polytechnic*) OR oo=(Hong Kong Polytechnic*) OR ad=(Hong Kong Polytechnic*)) OR ((og=(Institute of Mathematics*) OR oo=(Institute of Mathematics*) OR ad=(Institute of Mathematics*)) AND ad=(Academy Sinica)) OR (og=(Pennsylvania State*) OR oo=(Pennsylvania State*) OR ad=(Pennsylvania State*)) OR (og=(Shandong*) OR oo=(Shandong*) OR ad=(Shandong*)) OR (og=(Simon Fraser*) OR oo=(Simon Fraser*) OR ad=(Simon Fraser*)) OR (og=(Tongji*) OR oo=(Tongji*) OR ad=(Tongji*)) OR ((og=(univ* Nevada*) OR oo=(univ* Nevada*) OR ad=(univ* Nevada*)) AND ad=(Las Vegas))</t>
  </si>
  <si>
    <t>FINAL QUERY</t>
  </si>
  <si>
    <t>WoS QUERY: AND Document Types=(Article OR Editorial Material OR Letter OR Proceedings Paper OR Review) Databases=SCI-EXPANDED Timespan=All years</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</si>
</sst>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scheme val="minor"/>
    </font>
    <font>
      <u/>
      <sz val="11"/>
      <color theme="10"/>
      <name val="Calibri"/>
      <family val="2"/>
      <scheme val="minor"/>
    </font>
    <font>
      <u/>
      <sz val="11"/>
      <color theme="11"/>
      <name val="Calibri"/>
      <family val="2"/>
      <scheme val="minor"/>
    </font>
    <font>
      <sz val="10"/>
      <name val="Arial"/>
    </font>
    <font>
      <b/>
      <sz val="11"/>
      <color theme="1"/>
      <name val="Calibri"/>
      <family val="2"/>
      <scheme val="minor"/>
    </font>
    <font>
      <sz val="12"/>
      <color theme="1"/>
      <name val="Times New Roman"/>
      <family val="1"/>
    </font>
    <font>
      <i/>
      <sz val="12"/>
      <color theme="1"/>
      <name val="Times New Roman"/>
      <family val="1"/>
    </font>
    <font>
      <b/>
      <sz val="12"/>
      <color theme="1"/>
      <name val="CG Times 12pt"/>
    </font>
    <font>
      <i/>
      <sz val="12"/>
      <color theme="1"/>
      <name val="CG Times 12pt"/>
    </font>
    <font>
      <i/>
      <sz val="10"/>
      <color theme="1"/>
      <name val="Arial"/>
      <family val="2"/>
    </font>
    <font>
      <sz val="9"/>
      <color indexed="81"/>
      <name val="Calibri"/>
      <family val="2"/>
    </font>
    <font>
      <b/>
      <sz val="9"/>
      <color indexed="81"/>
      <name val="Calibri"/>
      <family val="2"/>
    </font>
  </fonts>
  <fills count="9">
    <fill>
      <patternFill patternType="none"/>
    </fill>
    <fill>
      <patternFill patternType="gray125"/>
    </fill>
    <fill>
      <patternFill patternType="solid">
        <fgColor theme="2" tint="-0.249977111117893"/>
        <bgColor indexed="64"/>
      </patternFill>
    </fill>
    <fill>
      <patternFill patternType="solid">
        <fgColor rgb="FFFFFF00"/>
        <bgColor indexed="64"/>
      </patternFill>
    </fill>
    <fill>
      <patternFill patternType="solid">
        <fgColor rgb="FFFF0000"/>
        <bgColor indexed="64"/>
      </patternFill>
    </fill>
    <fill>
      <patternFill patternType="solid">
        <fgColor rgb="FF00B0F0"/>
        <bgColor indexed="64"/>
      </patternFill>
    </fill>
    <fill>
      <patternFill patternType="solid">
        <fgColor theme="6" tint="-0.249977111117893"/>
        <bgColor indexed="64"/>
      </patternFill>
    </fill>
    <fill>
      <patternFill patternType="solid">
        <fgColor theme="3" tint="0.79998168889431442"/>
        <bgColor indexed="64"/>
      </patternFill>
    </fill>
    <fill>
      <patternFill patternType="solid">
        <fgColor theme="9" tint="0.79998168889431442"/>
        <bgColor indexed="64"/>
      </patternFill>
    </fill>
  </fills>
  <borders count="1">
    <border>
      <left/>
      <right/>
      <top/>
      <bottom/>
      <diagonal/>
    </border>
  </borders>
  <cellStyleXfs count="2106">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14">
    <xf numFmtId="0" fontId="0" fillId="0" borderId="0" xfId="0"/>
    <xf numFmtId="0" fontId="1" fillId="0" borderId="0" xfId="0" applyFont="1"/>
    <xf numFmtId="0" fontId="1" fillId="2" borderId="0" xfId="0" applyFont="1" applyFill="1" applyAlignment="1">
      <alignment wrapText="1"/>
    </xf>
    <xf numFmtId="0" fontId="0" fillId="3" borderId="0" xfId="0" applyFill="1"/>
    <xf numFmtId="0" fontId="0" fillId="0" borderId="0" xfId="0" applyAlignment="1">
      <alignment wrapText="1"/>
    </xf>
    <xf numFmtId="0" fontId="0" fillId="4" borderId="0" xfId="0" applyFill="1"/>
    <xf numFmtId="0" fontId="0" fillId="5" borderId="0" xfId="0" applyFill="1"/>
    <xf numFmtId="0" fontId="5" fillId="0" borderId="0" xfId="0" applyFont="1"/>
    <xf numFmtId="0" fontId="0" fillId="6" borderId="0" xfId="0" applyFill="1"/>
    <xf numFmtId="0" fontId="1" fillId="7" borderId="0" xfId="0" applyFont="1" applyFill="1"/>
    <xf numFmtId="0" fontId="0" fillId="7" borderId="0" xfId="0" applyFill="1"/>
    <xf numFmtId="0" fontId="1" fillId="8" borderId="0" xfId="0" applyFont="1" applyFill="1"/>
    <xf numFmtId="0" fontId="0" fillId="8" borderId="0" xfId="0" applyFill="1"/>
    <xf numFmtId="0" fontId="0" fillId="0" borderId="0" xfId="0" applyFill="1"/>
  </cellXfs>
  <cellStyles count="2106">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75" builtinId="9" hidden="1"/>
    <cellStyle name="Followed Hyperlink" xfId="677" builtinId="9" hidden="1"/>
    <cellStyle name="Followed Hyperlink" xfId="679" builtinId="9" hidden="1"/>
    <cellStyle name="Followed Hyperlink" xfId="681" builtinId="9" hidden="1"/>
    <cellStyle name="Followed Hyperlink" xfId="68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1" builtinId="9" hidden="1"/>
    <cellStyle name="Followed Hyperlink" xfId="733" builtinId="9" hidden="1"/>
    <cellStyle name="Followed Hyperlink" xfId="735" builtinId="9" hidden="1"/>
    <cellStyle name="Followed Hyperlink" xfId="737" builtinId="9" hidden="1"/>
    <cellStyle name="Followed Hyperlink" xfId="739" builtinId="9" hidden="1"/>
    <cellStyle name="Followed Hyperlink" xfId="741" builtinId="9" hidden="1"/>
    <cellStyle name="Followed Hyperlink" xfId="743" builtinId="9" hidden="1"/>
    <cellStyle name="Followed Hyperlink" xfId="745" builtinId="9" hidden="1"/>
    <cellStyle name="Followed Hyperlink" xfId="747" builtinId="9" hidden="1"/>
    <cellStyle name="Followed Hyperlink" xfId="749" builtinId="9" hidden="1"/>
    <cellStyle name="Followed Hyperlink" xfId="751" builtinId="9" hidden="1"/>
    <cellStyle name="Followed Hyperlink" xfId="753" builtinId="9" hidden="1"/>
    <cellStyle name="Followed Hyperlink" xfId="755" builtinId="9" hidden="1"/>
    <cellStyle name="Followed Hyperlink" xfId="757" builtinId="9" hidden="1"/>
    <cellStyle name="Followed Hyperlink" xfId="759" builtinId="9" hidden="1"/>
    <cellStyle name="Followed Hyperlink" xfId="761" builtinId="9" hidden="1"/>
    <cellStyle name="Followed Hyperlink" xfId="763" builtinId="9" hidden="1"/>
    <cellStyle name="Followed Hyperlink" xfId="765" builtinId="9" hidden="1"/>
    <cellStyle name="Followed Hyperlink" xfId="767" builtinId="9" hidden="1"/>
    <cellStyle name="Followed Hyperlink" xfId="769" builtinId="9" hidden="1"/>
    <cellStyle name="Followed Hyperlink" xfId="771" builtinId="9" hidden="1"/>
    <cellStyle name="Followed Hyperlink" xfId="773" builtinId="9" hidden="1"/>
    <cellStyle name="Followed Hyperlink" xfId="775" builtinId="9" hidden="1"/>
    <cellStyle name="Followed Hyperlink" xfId="777" builtinId="9" hidden="1"/>
    <cellStyle name="Followed Hyperlink" xfId="779" builtinId="9" hidden="1"/>
    <cellStyle name="Followed Hyperlink" xfId="781" builtinId="9" hidden="1"/>
    <cellStyle name="Followed Hyperlink" xfId="783" builtinId="9" hidden="1"/>
    <cellStyle name="Followed Hyperlink" xfId="785" builtinId="9" hidden="1"/>
    <cellStyle name="Followed Hyperlink" xfId="787" builtinId="9" hidden="1"/>
    <cellStyle name="Followed Hyperlink" xfId="789" builtinId="9" hidden="1"/>
    <cellStyle name="Followed Hyperlink" xfId="791" builtinId="9" hidden="1"/>
    <cellStyle name="Followed Hyperlink" xfId="793" builtinId="9" hidden="1"/>
    <cellStyle name="Followed Hyperlink" xfId="795" builtinId="9" hidden="1"/>
    <cellStyle name="Followed Hyperlink" xfId="797" builtinId="9" hidden="1"/>
    <cellStyle name="Followed Hyperlink" xfId="799" builtinId="9" hidden="1"/>
    <cellStyle name="Followed Hyperlink" xfId="801" builtinId="9" hidden="1"/>
    <cellStyle name="Followed Hyperlink" xfId="803" builtinId="9" hidden="1"/>
    <cellStyle name="Followed Hyperlink" xfId="805" builtinId="9" hidden="1"/>
    <cellStyle name="Followed Hyperlink" xfId="807" builtinId="9" hidden="1"/>
    <cellStyle name="Followed Hyperlink" xfId="809" builtinId="9" hidden="1"/>
    <cellStyle name="Followed Hyperlink" xfId="811" builtinId="9" hidden="1"/>
    <cellStyle name="Followed Hyperlink" xfId="813" builtinId="9" hidden="1"/>
    <cellStyle name="Followed Hyperlink" xfId="815" builtinId="9" hidden="1"/>
    <cellStyle name="Followed Hyperlink" xfId="817" builtinId="9" hidden="1"/>
    <cellStyle name="Followed Hyperlink" xfId="819" builtinId="9" hidden="1"/>
    <cellStyle name="Followed Hyperlink" xfId="821" builtinId="9" hidden="1"/>
    <cellStyle name="Followed Hyperlink" xfId="823" builtinId="9" hidden="1"/>
    <cellStyle name="Followed Hyperlink" xfId="825" builtinId="9" hidden="1"/>
    <cellStyle name="Followed Hyperlink" xfId="827" builtinId="9" hidden="1"/>
    <cellStyle name="Followed Hyperlink" xfId="829" builtinId="9" hidden="1"/>
    <cellStyle name="Followed Hyperlink" xfId="831" builtinId="9" hidden="1"/>
    <cellStyle name="Followed Hyperlink" xfId="833" builtinId="9" hidden="1"/>
    <cellStyle name="Followed Hyperlink" xfId="835" builtinId="9" hidden="1"/>
    <cellStyle name="Followed Hyperlink" xfId="837" builtinId="9" hidden="1"/>
    <cellStyle name="Followed Hyperlink" xfId="839" builtinId="9" hidden="1"/>
    <cellStyle name="Followed Hyperlink" xfId="841" builtinId="9" hidden="1"/>
    <cellStyle name="Followed Hyperlink" xfId="843" builtinId="9" hidden="1"/>
    <cellStyle name="Followed Hyperlink" xfId="845" builtinId="9" hidden="1"/>
    <cellStyle name="Followed Hyperlink" xfId="847" builtinId="9" hidden="1"/>
    <cellStyle name="Followed Hyperlink" xfId="849" builtinId="9" hidden="1"/>
    <cellStyle name="Followed Hyperlink" xfId="851" builtinId="9" hidden="1"/>
    <cellStyle name="Followed Hyperlink" xfId="853" builtinId="9" hidden="1"/>
    <cellStyle name="Followed Hyperlink" xfId="855" builtinId="9" hidden="1"/>
    <cellStyle name="Followed Hyperlink" xfId="857" builtinId="9" hidden="1"/>
    <cellStyle name="Followed Hyperlink" xfId="859" builtinId="9" hidden="1"/>
    <cellStyle name="Followed Hyperlink" xfId="861" builtinId="9" hidden="1"/>
    <cellStyle name="Followed Hyperlink" xfId="863" builtinId="9" hidden="1"/>
    <cellStyle name="Followed Hyperlink" xfId="865" builtinId="9" hidden="1"/>
    <cellStyle name="Followed Hyperlink" xfId="867" builtinId="9" hidden="1"/>
    <cellStyle name="Followed Hyperlink" xfId="869" builtinId="9" hidden="1"/>
    <cellStyle name="Followed Hyperlink" xfId="871" builtinId="9" hidden="1"/>
    <cellStyle name="Followed Hyperlink" xfId="873" builtinId="9" hidden="1"/>
    <cellStyle name="Followed Hyperlink" xfId="875" builtinId="9" hidden="1"/>
    <cellStyle name="Followed Hyperlink" xfId="877" builtinId="9" hidden="1"/>
    <cellStyle name="Followed Hyperlink" xfId="879" builtinId="9" hidden="1"/>
    <cellStyle name="Followed Hyperlink" xfId="881" builtinId="9" hidden="1"/>
    <cellStyle name="Followed Hyperlink" xfId="883" builtinId="9" hidden="1"/>
    <cellStyle name="Followed Hyperlink" xfId="885" builtinId="9" hidden="1"/>
    <cellStyle name="Followed Hyperlink" xfId="887" builtinId="9" hidden="1"/>
    <cellStyle name="Followed Hyperlink" xfId="889" builtinId="9" hidden="1"/>
    <cellStyle name="Followed Hyperlink" xfId="891" builtinId="9" hidden="1"/>
    <cellStyle name="Followed Hyperlink" xfId="893" builtinId="9" hidden="1"/>
    <cellStyle name="Followed Hyperlink" xfId="895" builtinId="9" hidden="1"/>
    <cellStyle name="Followed Hyperlink" xfId="897" builtinId="9" hidden="1"/>
    <cellStyle name="Followed Hyperlink" xfId="899" builtinId="9" hidden="1"/>
    <cellStyle name="Followed Hyperlink" xfId="901" builtinId="9" hidden="1"/>
    <cellStyle name="Followed Hyperlink" xfId="903" builtinId="9" hidden="1"/>
    <cellStyle name="Followed Hyperlink" xfId="905" builtinId="9" hidden="1"/>
    <cellStyle name="Followed Hyperlink" xfId="907" builtinId="9" hidden="1"/>
    <cellStyle name="Followed Hyperlink" xfId="909" builtinId="9" hidden="1"/>
    <cellStyle name="Followed Hyperlink" xfId="911" builtinId="9" hidden="1"/>
    <cellStyle name="Followed Hyperlink" xfId="913" builtinId="9" hidden="1"/>
    <cellStyle name="Followed Hyperlink" xfId="915" builtinId="9" hidden="1"/>
    <cellStyle name="Followed Hyperlink" xfId="917" builtinId="9" hidden="1"/>
    <cellStyle name="Followed Hyperlink" xfId="919" builtinId="9" hidden="1"/>
    <cellStyle name="Followed Hyperlink" xfId="921" builtinId="9" hidden="1"/>
    <cellStyle name="Followed Hyperlink" xfId="923" builtinId="9" hidden="1"/>
    <cellStyle name="Followed Hyperlink" xfId="925" builtinId="9" hidden="1"/>
    <cellStyle name="Followed Hyperlink" xfId="927" builtinId="9" hidden="1"/>
    <cellStyle name="Followed Hyperlink" xfId="929" builtinId="9" hidden="1"/>
    <cellStyle name="Followed Hyperlink" xfId="931" builtinId="9" hidden="1"/>
    <cellStyle name="Followed Hyperlink" xfId="933" builtinId="9" hidden="1"/>
    <cellStyle name="Followed Hyperlink" xfId="935" builtinId="9" hidden="1"/>
    <cellStyle name="Followed Hyperlink" xfId="937" builtinId="9" hidden="1"/>
    <cellStyle name="Followed Hyperlink" xfId="939" builtinId="9" hidden="1"/>
    <cellStyle name="Followed Hyperlink" xfId="941" builtinId="9" hidden="1"/>
    <cellStyle name="Followed Hyperlink" xfId="943" builtinId="9" hidden="1"/>
    <cellStyle name="Followed Hyperlink" xfId="945" builtinId="9" hidden="1"/>
    <cellStyle name="Followed Hyperlink" xfId="947" builtinId="9" hidden="1"/>
    <cellStyle name="Followed Hyperlink" xfId="949" builtinId="9" hidden="1"/>
    <cellStyle name="Followed Hyperlink" xfId="951" builtinId="9" hidden="1"/>
    <cellStyle name="Followed Hyperlink" xfId="953" builtinId="9" hidden="1"/>
    <cellStyle name="Followed Hyperlink" xfId="955" builtinId="9" hidden="1"/>
    <cellStyle name="Followed Hyperlink" xfId="957" builtinId="9" hidden="1"/>
    <cellStyle name="Followed Hyperlink" xfId="959" builtinId="9" hidden="1"/>
    <cellStyle name="Followed Hyperlink" xfId="961" builtinId="9" hidden="1"/>
    <cellStyle name="Followed Hyperlink" xfId="963" builtinId="9" hidden="1"/>
    <cellStyle name="Followed Hyperlink" xfId="965" builtinId="9" hidden="1"/>
    <cellStyle name="Followed Hyperlink" xfId="967" builtinId="9" hidden="1"/>
    <cellStyle name="Followed Hyperlink" xfId="969" builtinId="9" hidden="1"/>
    <cellStyle name="Followed Hyperlink" xfId="971"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74" builtinId="8" hidden="1"/>
    <cellStyle name="Hyperlink" xfId="676" builtinId="8" hidden="1"/>
    <cellStyle name="Hyperlink" xfId="678" builtinId="8" hidden="1"/>
    <cellStyle name="Hyperlink" xfId="680" builtinId="8" hidden="1"/>
    <cellStyle name="Hyperlink" xfId="68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0" builtinId="8" hidden="1"/>
    <cellStyle name="Hyperlink" xfId="732" builtinId="8" hidden="1"/>
    <cellStyle name="Hyperlink" xfId="734" builtinId="8" hidden="1"/>
    <cellStyle name="Hyperlink" xfId="736" builtinId="8" hidden="1"/>
    <cellStyle name="Hyperlink" xfId="738" builtinId="8" hidden="1"/>
    <cellStyle name="Hyperlink" xfId="740" builtinId="8" hidden="1"/>
    <cellStyle name="Hyperlink" xfId="742" builtinId="8" hidden="1"/>
    <cellStyle name="Hyperlink" xfId="744" builtinId="8" hidden="1"/>
    <cellStyle name="Hyperlink" xfId="746" builtinId="8" hidden="1"/>
    <cellStyle name="Hyperlink" xfId="748" builtinId="8" hidden="1"/>
    <cellStyle name="Hyperlink" xfId="750" builtinId="8" hidden="1"/>
    <cellStyle name="Hyperlink" xfId="752" builtinId="8" hidden="1"/>
    <cellStyle name="Hyperlink" xfId="754" builtinId="8" hidden="1"/>
    <cellStyle name="Hyperlink" xfId="756" builtinId="8" hidden="1"/>
    <cellStyle name="Hyperlink" xfId="758" builtinId="8" hidden="1"/>
    <cellStyle name="Hyperlink" xfId="760" builtinId="8" hidden="1"/>
    <cellStyle name="Hyperlink" xfId="762" builtinId="8" hidden="1"/>
    <cellStyle name="Hyperlink" xfId="764" builtinId="8" hidden="1"/>
    <cellStyle name="Hyperlink" xfId="766" builtinId="8" hidden="1"/>
    <cellStyle name="Hyperlink" xfId="768" builtinId="8" hidden="1"/>
    <cellStyle name="Hyperlink" xfId="770" builtinId="8" hidden="1"/>
    <cellStyle name="Hyperlink" xfId="772" builtinId="8" hidden="1"/>
    <cellStyle name="Hyperlink" xfId="774" builtinId="8" hidden="1"/>
    <cellStyle name="Hyperlink" xfId="776" builtinId="8" hidden="1"/>
    <cellStyle name="Hyperlink" xfId="778" builtinId="8" hidden="1"/>
    <cellStyle name="Hyperlink" xfId="780" builtinId="8" hidden="1"/>
    <cellStyle name="Hyperlink" xfId="782" builtinId="8" hidden="1"/>
    <cellStyle name="Hyperlink" xfId="784" builtinId="8" hidden="1"/>
    <cellStyle name="Hyperlink" xfId="786" builtinId="8" hidden="1"/>
    <cellStyle name="Hyperlink" xfId="788" builtinId="8" hidden="1"/>
    <cellStyle name="Hyperlink" xfId="790" builtinId="8" hidden="1"/>
    <cellStyle name="Hyperlink" xfId="792" builtinId="8" hidden="1"/>
    <cellStyle name="Hyperlink" xfId="794" builtinId="8" hidden="1"/>
    <cellStyle name="Hyperlink" xfId="796" builtinId="8" hidden="1"/>
    <cellStyle name="Hyperlink" xfId="798" builtinId="8" hidden="1"/>
    <cellStyle name="Hyperlink" xfId="800" builtinId="8" hidden="1"/>
    <cellStyle name="Hyperlink" xfId="802" builtinId="8" hidden="1"/>
    <cellStyle name="Hyperlink" xfId="804" builtinId="8" hidden="1"/>
    <cellStyle name="Hyperlink" xfId="806" builtinId="8" hidden="1"/>
    <cellStyle name="Hyperlink" xfId="808" builtinId="8" hidden="1"/>
    <cellStyle name="Hyperlink" xfId="810" builtinId="8" hidden="1"/>
    <cellStyle name="Hyperlink" xfId="812" builtinId="8" hidden="1"/>
    <cellStyle name="Hyperlink" xfId="814" builtinId="8" hidden="1"/>
    <cellStyle name="Hyperlink" xfId="816" builtinId="8" hidden="1"/>
    <cellStyle name="Hyperlink" xfId="818" builtinId="8" hidden="1"/>
    <cellStyle name="Hyperlink" xfId="820" builtinId="8" hidden="1"/>
    <cellStyle name="Hyperlink" xfId="822" builtinId="8" hidden="1"/>
    <cellStyle name="Hyperlink" xfId="824" builtinId="8" hidden="1"/>
    <cellStyle name="Hyperlink" xfId="826" builtinId="8" hidden="1"/>
    <cellStyle name="Hyperlink" xfId="828" builtinId="8" hidden="1"/>
    <cellStyle name="Hyperlink" xfId="830" builtinId="8" hidden="1"/>
    <cellStyle name="Hyperlink" xfId="832" builtinId="8" hidden="1"/>
    <cellStyle name="Hyperlink" xfId="834" builtinId="8" hidden="1"/>
    <cellStyle name="Hyperlink" xfId="836" builtinId="8" hidden="1"/>
    <cellStyle name="Hyperlink" xfId="838" builtinId="8" hidden="1"/>
    <cellStyle name="Hyperlink" xfId="840" builtinId="8" hidden="1"/>
    <cellStyle name="Hyperlink" xfId="842" builtinId="8" hidden="1"/>
    <cellStyle name="Hyperlink" xfId="844" builtinId="8" hidden="1"/>
    <cellStyle name="Hyperlink" xfId="846" builtinId="8" hidden="1"/>
    <cellStyle name="Hyperlink" xfId="848" builtinId="8" hidden="1"/>
    <cellStyle name="Hyperlink" xfId="850" builtinId="8" hidden="1"/>
    <cellStyle name="Hyperlink" xfId="852" builtinId="8" hidden="1"/>
    <cellStyle name="Hyperlink" xfId="854" builtinId="8" hidden="1"/>
    <cellStyle name="Hyperlink" xfId="856" builtinId="8" hidden="1"/>
    <cellStyle name="Hyperlink" xfId="858" builtinId="8" hidden="1"/>
    <cellStyle name="Hyperlink" xfId="860" builtinId="8" hidden="1"/>
    <cellStyle name="Hyperlink" xfId="862" builtinId="8" hidden="1"/>
    <cellStyle name="Hyperlink" xfId="864" builtinId="8" hidden="1"/>
    <cellStyle name="Hyperlink" xfId="866" builtinId="8" hidden="1"/>
    <cellStyle name="Hyperlink" xfId="868" builtinId="8" hidden="1"/>
    <cellStyle name="Hyperlink" xfId="870" builtinId="8" hidden="1"/>
    <cellStyle name="Hyperlink" xfId="872" builtinId="8" hidden="1"/>
    <cellStyle name="Hyperlink" xfId="874" builtinId="8" hidden="1"/>
    <cellStyle name="Hyperlink" xfId="876" builtinId="8" hidden="1"/>
    <cellStyle name="Hyperlink" xfId="878" builtinId="8" hidden="1"/>
    <cellStyle name="Hyperlink" xfId="880" builtinId="8" hidden="1"/>
    <cellStyle name="Hyperlink" xfId="882" builtinId="8" hidden="1"/>
    <cellStyle name="Hyperlink" xfId="884" builtinId="8" hidden="1"/>
    <cellStyle name="Hyperlink" xfId="886" builtinId="8" hidden="1"/>
    <cellStyle name="Hyperlink" xfId="888" builtinId="8" hidden="1"/>
    <cellStyle name="Hyperlink" xfId="890" builtinId="8" hidden="1"/>
    <cellStyle name="Hyperlink" xfId="892" builtinId="8" hidden="1"/>
    <cellStyle name="Hyperlink" xfId="894" builtinId="8" hidden="1"/>
    <cellStyle name="Hyperlink" xfId="896" builtinId="8" hidden="1"/>
    <cellStyle name="Hyperlink" xfId="898" builtinId="8" hidden="1"/>
    <cellStyle name="Hyperlink" xfId="900" builtinId="8" hidden="1"/>
    <cellStyle name="Hyperlink" xfId="902" builtinId="8" hidden="1"/>
    <cellStyle name="Hyperlink" xfId="904" builtinId="8" hidden="1"/>
    <cellStyle name="Hyperlink" xfId="906" builtinId="8" hidden="1"/>
    <cellStyle name="Hyperlink" xfId="908" builtinId="8" hidden="1"/>
    <cellStyle name="Hyperlink" xfId="910" builtinId="8" hidden="1"/>
    <cellStyle name="Hyperlink" xfId="912" builtinId="8" hidden="1"/>
    <cellStyle name="Hyperlink" xfId="914" builtinId="8" hidden="1"/>
    <cellStyle name="Hyperlink" xfId="916" builtinId="8" hidden="1"/>
    <cellStyle name="Hyperlink" xfId="918" builtinId="8" hidden="1"/>
    <cellStyle name="Hyperlink" xfId="920" builtinId="8" hidden="1"/>
    <cellStyle name="Hyperlink" xfId="922" builtinId="8" hidden="1"/>
    <cellStyle name="Hyperlink" xfId="924" builtinId="8" hidden="1"/>
    <cellStyle name="Hyperlink" xfId="926" builtinId="8" hidden="1"/>
    <cellStyle name="Hyperlink" xfId="928" builtinId="8" hidden="1"/>
    <cellStyle name="Hyperlink" xfId="930" builtinId="8" hidden="1"/>
    <cellStyle name="Hyperlink" xfId="932" builtinId="8" hidden="1"/>
    <cellStyle name="Hyperlink" xfId="934" builtinId="8" hidden="1"/>
    <cellStyle name="Hyperlink" xfId="936" builtinId="8" hidden="1"/>
    <cellStyle name="Hyperlink" xfId="938" builtinId="8" hidden="1"/>
    <cellStyle name="Hyperlink" xfId="940" builtinId="8" hidden="1"/>
    <cellStyle name="Hyperlink" xfId="942" builtinId="8" hidden="1"/>
    <cellStyle name="Hyperlink" xfId="944" builtinId="8" hidden="1"/>
    <cellStyle name="Hyperlink" xfId="946" builtinId="8" hidden="1"/>
    <cellStyle name="Hyperlink" xfId="948" builtinId="8" hidden="1"/>
    <cellStyle name="Hyperlink" xfId="950" builtinId="8" hidden="1"/>
    <cellStyle name="Hyperlink" xfId="952" builtinId="8" hidden="1"/>
    <cellStyle name="Hyperlink" xfId="954" builtinId="8" hidden="1"/>
    <cellStyle name="Hyperlink" xfId="956" builtinId="8" hidden="1"/>
    <cellStyle name="Hyperlink" xfId="958" builtinId="8" hidden="1"/>
    <cellStyle name="Hyperlink" xfId="960" builtinId="8" hidden="1"/>
    <cellStyle name="Hyperlink" xfId="962" builtinId="8" hidden="1"/>
    <cellStyle name="Hyperlink" xfId="964" builtinId="8" hidden="1"/>
    <cellStyle name="Hyperlink" xfId="966" builtinId="8" hidden="1"/>
    <cellStyle name="Hyperlink" xfId="968" builtinId="8" hidden="1"/>
    <cellStyle name="Hyperlink" xfId="970"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Normal" xfId="0" builtinId="0"/>
    <cellStyle name="Normal 2" xfId="57"/>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U103"/>
  <sheetViews>
    <sheetView topLeftCell="A16" workbookViewId="0">
      <selection activeCell="K37" sqref="K37"/>
    </sheetView>
  </sheetViews>
  <sheetFormatPr baseColWidth="10" defaultColWidth="11.5" defaultRowHeight="14" x14ac:dyDescent="0"/>
  <cols>
    <col min="1" max="1" width="6.1640625" bestFit="1" customWidth="1"/>
    <col min="2" max="2" width="18.83203125" bestFit="1" customWidth="1"/>
    <col min="3" max="3" width="8.33203125" bestFit="1" customWidth="1"/>
    <col min="4" max="4" width="6.1640625" bestFit="1" customWidth="1"/>
    <col min="5" max="5" width="9.83203125" bestFit="1" customWidth="1"/>
    <col min="6" max="6" width="6.1640625" bestFit="1" customWidth="1"/>
    <col min="7" max="7" width="2.33203125" bestFit="1" customWidth="1"/>
    <col min="8" max="8" width="22.33203125" customWidth="1"/>
    <col min="9" max="9" width="11.5" style="3"/>
  </cols>
  <sheetData>
    <row r="1" spans="1:14">
      <c r="A1" s="2" t="s">
        <v>341</v>
      </c>
      <c r="B1" s="2" t="s">
        <v>342</v>
      </c>
      <c r="C1" t="s">
        <v>0</v>
      </c>
      <c r="D1" t="s">
        <v>1</v>
      </c>
      <c r="E1" t="s">
        <v>2</v>
      </c>
      <c r="F1" t="s">
        <v>371</v>
      </c>
    </row>
    <row r="2" spans="1:14">
      <c r="A2">
        <v>15037</v>
      </c>
      <c r="B2" t="s">
        <v>105</v>
      </c>
      <c r="C2">
        <v>30037</v>
      </c>
      <c r="E2">
        <v>0</v>
      </c>
      <c r="F2">
        <f t="shared" ref="F2:F33" si="0">A2+15000-20000</f>
        <v>10037</v>
      </c>
      <c r="G2" t="s">
        <v>374</v>
      </c>
      <c r="H2" t="s">
        <v>104</v>
      </c>
    </row>
    <row r="3" spans="1:14">
      <c r="A3">
        <v>15061</v>
      </c>
      <c r="B3" t="s">
        <v>140</v>
      </c>
      <c r="C3">
        <v>30061</v>
      </c>
      <c r="E3">
        <v>0</v>
      </c>
      <c r="F3">
        <f t="shared" si="0"/>
        <v>10061</v>
      </c>
      <c r="G3" t="s">
        <v>374</v>
      </c>
      <c r="H3" t="s">
        <v>139</v>
      </c>
    </row>
    <row r="4" spans="1:14">
      <c r="A4">
        <v>15100</v>
      </c>
      <c r="B4" t="s">
        <v>67</v>
      </c>
      <c r="C4">
        <v>30100</v>
      </c>
      <c r="E4">
        <v>0</v>
      </c>
      <c r="F4">
        <f t="shared" si="0"/>
        <v>10100</v>
      </c>
      <c r="G4" t="s">
        <v>374</v>
      </c>
      <c r="H4" t="s">
        <v>66</v>
      </c>
    </row>
    <row r="5" spans="1:14">
      <c r="A5">
        <v>15222</v>
      </c>
      <c r="B5" t="s">
        <v>87</v>
      </c>
      <c r="C5">
        <v>30222</v>
      </c>
      <c r="E5">
        <v>0</v>
      </c>
      <c r="F5">
        <f t="shared" si="0"/>
        <v>10222</v>
      </c>
      <c r="G5" t="s">
        <v>374</v>
      </c>
      <c r="H5" t="s">
        <v>86</v>
      </c>
    </row>
    <row r="6" spans="1:14">
      <c r="A6">
        <v>15341</v>
      </c>
      <c r="B6" t="s">
        <v>117</v>
      </c>
      <c r="C6">
        <v>30341</v>
      </c>
      <c r="E6">
        <v>0</v>
      </c>
      <c r="F6">
        <f t="shared" si="0"/>
        <v>10341</v>
      </c>
      <c r="G6" t="s">
        <v>374</v>
      </c>
      <c r="H6" t="s">
        <v>116</v>
      </c>
      <c r="I6" s="3" t="s">
        <v>108</v>
      </c>
      <c r="J6" t="s">
        <v>116</v>
      </c>
      <c r="K6" t="s">
        <v>190</v>
      </c>
    </row>
    <row r="7" spans="1:14">
      <c r="A7">
        <v>15758</v>
      </c>
      <c r="B7" t="s">
        <v>142</v>
      </c>
      <c r="C7">
        <v>30758</v>
      </c>
      <c r="E7">
        <v>0</v>
      </c>
      <c r="F7">
        <f t="shared" si="0"/>
        <v>10758</v>
      </c>
      <c r="G7" t="s">
        <v>374</v>
      </c>
      <c r="H7" t="s">
        <v>139</v>
      </c>
    </row>
    <row r="8" spans="1:14">
      <c r="A8">
        <v>15932</v>
      </c>
      <c r="B8" t="s">
        <v>90</v>
      </c>
      <c r="C8">
        <v>30932</v>
      </c>
      <c r="E8">
        <v>0</v>
      </c>
      <c r="F8">
        <f t="shared" si="0"/>
        <v>10932</v>
      </c>
      <c r="G8" t="s">
        <v>374</v>
      </c>
      <c r="H8" t="s">
        <v>86</v>
      </c>
      <c r="I8" s="3" t="s">
        <v>377</v>
      </c>
      <c r="J8" t="s">
        <v>378</v>
      </c>
    </row>
    <row r="9" spans="1:14">
      <c r="A9">
        <v>16272</v>
      </c>
      <c r="B9" t="s">
        <v>40</v>
      </c>
      <c r="C9">
        <v>31272</v>
      </c>
      <c r="E9">
        <v>0</v>
      </c>
      <c r="F9">
        <f t="shared" si="0"/>
        <v>11272</v>
      </c>
      <c r="G9" t="s">
        <v>374</v>
      </c>
      <c r="H9" t="s">
        <v>39</v>
      </c>
      <c r="I9" s="3" t="s">
        <v>379</v>
      </c>
      <c r="K9" t="s">
        <v>380</v>
      </c>
      <c r="L9" t="s">
        <v>300</v>
      </c>
      <c r="M9" t="s">
        <v>39</v>
      </c>
    </row>
    <row r="10" spans="1:14">
      <c r="A10">
        <v>18130</v>
      </c>
      <c r="B10" t="s">
        <v>114</v>
      </c>
      <c r="C10">
        <v>33130</v>
      </c>
      <c r="E10">
        <v>0</v>
      </c>
      <c r="F10">
        <f t="shared" si="0"/>
        <v>13130</v>
      </c>
      <c r="G10" t="s">
        <v>374</v>
      </c>
      <c r="H10" t="s">
        <v>113</v>
      </c>
    </row>
    <row r="11" spans="1:14">
      <c r="A11">
        <v>18422</v>
      </c>
      <c r="B11" t="s">
        <v>101</v>
      </c>
      <c r="C11">
        <v>33422</v>
      </c>
      <c r="E11">
        <v>0</v>
      </c>
      <c r="F11">
        <f t="shared" si="0"/>
        <v>13422</v>
      </c>
      <c r="G11" t="s">
        <v>374</v>
      </c>
      <c r="H11" t="s">
        <v>99</v>
      </c>
      <c r="I11" s="3" t="s">
        <v>381</v>
      </c>
    </row>
    <row r="12" spans="1:14">
      <c r="A12">
        <v>18824</v>
      </c>
      <c r="B12" t="s">
        <v>59</v>
      </c>
      <c r="C12">
        <v>33824</v>
      </c>
      <c r="E12">
        <v>0</v>
      </c>
      <c r="F12">
        <f t="shared" si="0"/>
        <v>13824</v>
      </c>
      <c r="G12" t="s">
        <v>374</v>
      </c>
      <c r="H12" t="s">
        <v>58</v>
      </c>
    </row>
    <row r="13" spans="1:14">
      <c r="A13">
        <v>20436</v>
      </c>
      <c r="B13" t="s">
        <v>143</v>
      </c>
      <c r="C13">
        <v>35436</v>
      </c>
      <c r="E13">
        <v>0</v>
      </c>
      <c r="F13">
        <f t="shared" si="0"/>
        <v>15436</v>
      </c>
      <c r="G13" t="s">
        <v>374</v>
      </c>
      <c r="H13" t="s">
        <v>144</v>
      </c>
      <c r="I13" s="3" t="s">
        <v>382</v>
      </c>
      <c r="J13" t="s">
        <v>383</v>
      </c>
      <c r="K13" t="s">
        <v>293</v>
      </c>
      <c r="L13" t="s">
        <v>299</v>
      </c>
      <c r="M13" t="s">
        <v>384</v>
      </c>
      <c r="N13" t="s">
        <v>385</v>
      </c>
    </row>
    <row r="14" spans="1:14">
      <c r="A14">
        <v>20483</v>
      </c>
      <c r="B14" t="s">
        <v>145</v>
      </c>
      <c r="C14">
        <v>35483</v>
      </c>
      <c r="E14">
        <v>0</v>
      </c>
      <c r="F14">
        <f t="shared" si="0"/>
        <v>15483</v>
      </c>
      <c r="G14" t="s">
        <v>374</v>
      </c>
      <c r="H14" t="s">
        <v>148</v>
      </c>
      <c r="I14" s="3" t="s">
        <v>386</v>
      </c>
      <c r="J14" t="s">
        <v>387</v>
      </c>
    </row>
    <row r="15" spans="1:14">
      <c r="A15">
        <v>21238</v>
      </c>
      <c r="B15" t="s">
        <v>29</v>
      </c>
      <c r="C15">
        <v>36238</v>
      </c>
      <c r="E15">
        <v>0</v>
      </c>
      <c r="F15">
        <f t="shared" si="0"/>
        <v>16238</v>
      </c>
      <c r="G15" t="s">
        <v>374</v>
      </c>
      <c r="H15" t="s">
        <v>28</v>
      </c>
      <c r="I15" s="3" t="s">
        <v>463</v>
      </c>
      <c r="J15" t="s">
        <v>241</v>
      </c>
    </row>
    <row r="16" spans="1:14">
      <c r="A16">
        <v>21793</v>
      </c>
      <c r="B16" t="s">
        <v>124</v>
      </c>
      <c r="C16">
        <v>36793</v>
      </c>
      <c r="E16">
        <v>0</v>
      </c>
      <c r="F16">
        <f t="shared" si="0"/>
        <v>16793</v>
      </c>
      <c r="G16" t="s">
        <v>374</v>
      </c>
      <c r="H16" t="s">
        <v>123</v>
      </c>
      <c r="I16" s="3" t="s">
        <v>388</v>
      </c>
    </row>
    <row r="17" spans="1:13">
      <c r="A17">
        <v>22314</v>
      </c>
      <c r="B17" t="s">
        <v>127</v>
      </c>
      <c r="C17">
        <v>37314</v>
      </c>
      <c r="E17">
        <v>0</v>
      </c>
      <c r="F17">
        <f t="shared" si="0"/>
        <v>17314</v>
      </c>
      <c r="G17" t="s">
        <v>374</v>
      </c>
      <c r="H17" t="s">
        <v>123</v>
      </c>
    </row>
    <row r="18" spans="1:13">
      <c r="A18">
        <v>22347</v>
      </c>
      <c r="B18" t="s">
        <v>149</v>
      </c>
      <c r="C18">
        <v>37347</v>
      </c>
      <c r="E18">
        <v>0</v>
      </c>
      <c r="F18">
        <f t="shared" si="0"/>
        <v>17347</v>
      </c>
      <c r="G18" t="s">
        <v>374</v>
      </c>
      <c r="H18" t="s">
        <v>148</v>
      </c>
      <c r="I18" s="3" t="s">
        <v>201</v>
      </c>
      <c r="J18" t="s">
        <v>379</v>
      </c>
      <c r="K18" t="s">
        <v>389</v>
      </c>
    </row>
    <row r="19" spans="1:13">
      <c r="A19">
        <v>22623</v>
      </c>
      <c r="B19" t="s">
        <v>109</v>
      </c>
      <c r="C19">
        <v>37623</v>
      </c>
      <c r="E19">
        <v>0</v>
      </c>
      <c r="F19">
        <f t="shared" si="0"/>
        <v>17623</v>
      </c>
      <c r="G19" t="s">
        <v>374</v>
      </c>
      <c r="H19" t="s">
        <v>108</v>
      </c>
      <c r="I19" s="3" t="s">
        <v>318</v>
      </c>
      <c r="J19" t="s">
        <v>190</v>
      </c>
      <c r="K19" t="s">
        <v>390</v>
      </c>
    </row>
    <row r="20" spans="1:13">
      <c r="A20">
        <v>23915</v>
      </c>
      <c r="B20" t="s">
        <v>32</v>
      </c>
      <c r="C20">
        <v>38915</v>
      </c>
      <c r="E20">
        <v>0</v>
      </c>
      <c r="F20">
        <f t="shared" si="0"/>
        <v>18915</v>
      </c>
      <c r="G20" t="s">
        <v>374</v>
      </c>
      <c r="H20" t="s">
        <v>28</v>
      </c>
      <c r="I20" s="3" t="s">
        <v>391</v>
      </c>
    </row>
    <row r="21" spans="1:13">
      <c r="A21">
        <v>24389</v>
      </c>
      <c r="B21" t="s">
        <v>134</v>
      </c>
      <c r="C21">
        <v>39389</v>
      </c>
      <c r="E21">
        <v>0</v>
      </c>
      <c r="F21">
        <f t="shared" si="0"/>
        <v>19389</v>
      </c>
      <c r="G21" t="s">
        <v>374</v>
      </c>
      <c r="H21" t="s">
        <v>136</v>
      </c>
    </row>
    <row r="22" spans="1:13">
      <c r="A22">
        <v>29441</v>
      </c>
      <c r="B22" t="s">
        <v>95</v>
      </c>
      <c r="C22">
        <v>44441</v>
      </c>
      <c r="E22">
        <v>0</v>
      </c>
      <c r="F22">
        <f t="shared" si="0"/>
        <v>24441</v>
      </c>
      <c r="G22" t="s">
        <v>374</v>
      </c>
      <c r="H22" t="s">
        <v>94</v>
      </c>
      <c r="I22" s="3" t="s">
        <v>171</v>
      </c>
      <c r="J22" t="s">
        <v>392</v>
      </c>
      <c r="K22" t="s">
        <v>393</v>
      </c>
    </row>
    <row r="23" spans="1:13">
      <c r="A23">
        <v>33483</v>
      </c>
      <c r="B23" t="s">
        <v>83</v>
      </c>
      <c r="C23">
        <v>48483</v>
      </c>
      <c r="E23">
        <v>0</v>
      </c>
      <c r="F23">
        <f t="shared" si="0"/>
        <v>28483</v>
      </c>
      <c r="G23" t="s">
        <v>374</v>
      </c>
      <c r="H23" t="s">
        <v>82</v>
      </c>
      <c r="I23" s="3" t="s">
        <v>228</v>
      </c>
      <c r="J23" t="s">
        <v>394</v>
      </c>
    </row>
    <row r="24" spans="1:13">
      <c r="A24">
        <v>36420</v>
      </c>
      <c r="B24" t="s">
        <v>78</v>
      </c>
      <c r="C24">
        <v>51420</v>
      </c>
      <c r="E24">
        <v>0</v>
      </c>
      <c r="F24">
        <f t="shared" si="0"/>
        <v>31420</v>
      </c>
      <c r="G24" t="s">
        <v>374</v>
      </c>
      <c r="H24" t="s">
        <v>77</v>
      </c>
    </row>
    <row r="25" spans="1:13">
      <c r="A25">
        <v>37733</v>
      </c>
      <c r="B25" t="s">
        <v>52</v>
      </c>
      <c r="C25">
        <v>52733</v>
      </c>
      <c r="E25">
        <v>0</v>
      </c>
      <c r="F25">
        <f t="shared" si="0"/>
        <v>32733</v>
      </c>
      <c r="G25" t="s">
        <v>374</v>
      </c>
      <c r="H25" t="s">
        <v>48</v>
      </c>
      <c r="I25" s="3" t="s">
        <v>395</v>
      </c>
      <c r="J25" t="s">
        <v>396</v>
      </c>
      <c r="K25" t="s">
        <v>397</v>
      </c>
    </row>
    <row r="26" spans="1:13">
      <c r="A26">
        <v>15056</v>
      </c>
      <c r="B26" t="s">
        <v>308</v>
      </c>
      <c r="C26">
        <v>30056</v>
      </c>
      <c r="E26">
        <v>0</v>
      </c>
      <c r="F26">
        <f t="shared" si="0"/>
        <v>10056</v>
      </c>
      <c r="G26" t="s">
        <v>376</v>
      </c>
      <c r="H26" t="s">
        <v>310</v>
      </c>
    </row>
    <row r="27" spans="1:13">
      <c r="A27">
        <v>15192</v>
      </c>
      <c r="B27" t="s">
        <v>338</v>
      </c>
      <c r="C27">
        <v>30192</v>
      </c>
      <c r="E27">
        <v>0</v>
      </c>
      <c r="F27">
        <f t="shared" si="0"/>
        <v>10192</v>
      </c>
      <c r="G27" t="s">
        <v>376</v>
      </c>
      <c r="H27" t="s">
        <v>337</v>
      </c>
    </row>
    <row r="28" spans="1:13">
      <c r="A28">
        <v>15951</v>
      </c>
      <c r="B28" t="s">
        <v>290</v>
      </c>
      <c r="C28">
        <v>30951</v>
      </c>
      <c r="E28">
        <v>0</v>
      </c>
      <c r="F28">
        <f t="shared" si="0"/>
        <v>10951</v>
      </c>
      <c r="G28" t="s">
        <v>376</v>
      </c>
      <c r="H28" t="s">
        <v>289</v>
      </c>
    </row>
    <row r="29" spans="1:13">
      <c r="A29">
        <v>15953</v>
      </c>
      <c r="B29" t="s">
        <v>291</v>
      </c>
      <c r="C29">
        <v>30953</v>
      </c>
      <c r="E29">
        <v>0</v>
      </c>
      <c r="F29">
        <f t="shared" si="0"/>
        <v>10953</v>
      </c>
      <c r="G29" t="s">
        <v>376</v>
      </c>
      <c r="H29" t="s">
        <v>289</v>
      </c>
    </row>
    <row r="30" spans="1:13">
      <c r="A30">
        <v>16481</v>
      </c>
      <c r="B30" t="s">
        <v>330</v>
      </c>
      <c r="C30">
        <v>31481</v>
      </c>
      <c r="E30">
        <v>0</v>
      </c>
      <c r="F30">
        <f t="shared" si="0"/>
        <v>11481</v>
      </c>
      <c r="G30" t="s">
        <v>376</v>
      </c>
      <c r="H30" t="s">
        <v>329</v>
      </c>
      <c r="I30" s="3" t="s">
        <v>208</v>
      </c>
      <c r="J30" t="s">
        <v>398</v>
      </c>
      <c r="K30" t="s">
        <v>399</v>
      </c>
      <c r="L30" t="s">
        <v>392</v>
      </c>
    </row>
    <row r="31" spans="1:13">
      <c r="A31">
        <v>17986</v>
      </c>
      <c r="B31" t="s">
        <v>321</v>
      </c>
      <c r="C31">
        <v>32986</v>
      </c>
      <c r="E31">
        <v>0</v>
      </c>
      <c r="F31">
        <f t="shared" si="0"/>
        <v>12986</v>
      </c>
      <c r="G31" t="s">
        <v>376</v>
      </c>
      <c r="H31" t="s">
        <v>322</v>
      </c>
      <c r="I31" s="3" t="s">
        <v>400</v>
      </c>
      <c r="J31" t="s">
        <v>401</v>
      </c>
      <c r="K31" t="s">
        <v>402</v>
      </c>
      <c r="L31" t="s">
        <v>403</v>
      </c>
      <c r="M31" t="s">
        <v>404</v>
      </c>
    </row>
    <row r="32" spans="1:13">
      <c r="A32">
        <v>19938</v>
      </c>
      <c r="B32" t="s">
        <v>279</v>
      </c>
      <c r="C32">
        <v>34938</v>
      </c>
      <c r="E32">
        <v>0</v>
      </c>
      <c r="F32">
        <f t="shared" si="0"/>
        <v>14938</v>
      </c>
      <c r="G32" t="s">
        <v>376</v>
      </c>
      <c r="H32" t="s">
        <v>281</v>
      </c>
    </row>
    <row r="33" spans="1:16">
      <c r="A33">
        <v>20698</v>
      </c>
      <c r="B33" t="s">
        <v>334</v>
      </c>
      <c r="C33">
        <v>35698</v>
      </c>
      <c r="E33">
        <v>0</v>
      </c>
      <c r="F33">
        <f t="shared" si="0"/>
        <v>15698</v>
      </c>
      <c r="G33" t="s">
        <v>376</v>
      </c>
      <c r="H33" t="s">
        <v>335</v>
      </c>
      <c r="I33" s="3" t="s">
        <v>198</v>
      </c>
      <c r="J33" t="s">
        <v>278</v>
      </c>
      <c r="K33" t="s">
        <v>405</v>
      </c>
      <c r="L33" t="s">
        <v>406</v>
      </c>
    </row>
    <row r="34" spans="1:16">
      <c r="A34">
        <v>21130</v>
      </c>
      <c r="B34" t="s">
        <v>324</v>
      </c>
      <c r="C34">
        <v>36130</v>
      </c>
      <c r="E34">
        <v>1</v>
      </c>
      <c r="F34">
        <f t="shared" ref="F34:F65" si="1">A34+15000-20000</f>
        <v>16130</v>
      </c>
      <c r="G34" t="s">
        <v>376</v>
      </c>
      <c r="H34" t="s">
        <v>326</v>
      </c>
      <c r="I34" s="3" t="s">
        <v>407</v>
      </c>
      <c r="J34" t="s">
        <v>299</v>
      </c>
    </row>
    <row r="35" spans="1:16">
      <c r="A35">
        <v>21302</v>
      </c>
      <c r="B35" t="s">
        <v>314</v>
      </c>
      <c r="C35">
        <v>36302</v>
      </c>
      <c r="E35">
        <v>0</v>
      </c>
      <c r="F35">
        <f t="shared" si="1"/>
        <v>16302</v>
      </c>
      <c r="G35" t="s">
        <v>376</v>
      </c>
      <c r="H35" t="s">
        <v>315</v>
      </c>
      <c r="I35" s="3" t="s">
        <v>408</v>
      </c>
      <c r="J35" t="s">
        <v>409</v>
      </c>
      <c r="K35" t="s">
        <v>340</v>
      </c>
      <c r="L35" t="s">
        <v>389</v>
      </c>
      <c r="M35" t="s">
        <v>410</v>
      </c>
    </row>
    <row r="36" spans="1:16">
      <c r="A36">
        <v>23580</v>
      </c>
      <c r="B36" t="s">
        <v>296</v>
      </c>
      <c r="C36">
        <v>38580</v>
      </c>
      <c r="E36">
        <v>1</v>
      </c>
      <c r="F36">
        <f t="shared" si="1"/>
        <v>18580</v>
      </c>
      <c r="G36" t="s">
        <v>376</v>
      </c>
      <c r="H36" t="s">
        <v>295</v>
      </c>
      <c r="I36" s="3" t="s">
        <v>411</v>
      </c>
      <c r="J36" t="s">
        <v>412</v>
      </c>
      <c r="K36" t="s">
        <v>413</v>
      </c>
      <c r="L36" t="s">
        <v>465</v>
      </c>
      <c r="M36" t="s">
        <v>415</v>
      </c>
      <c r="N36" t="s">
        <v>416</v>
      </c>
      <c r="O36" t="s">
        <v>417</v>
      </c>
    </row>
    <row r="37" spans="1:16">
      <c r="A37">
        <v>23827</v>
      </c>
      <c r="B37" t="s">
        <v>327</v>
      </c>
      <c r="C37">
        <v>38827</v>
      </c>
      <c r="E37">
        <v>0</v>
      </c>
      <c r="F37">
        <f t="shared" si="1"/>
        <v>18827</v>
      </c>
      <c r="G37" t="s">
        <v>376</v>
      </c>
      <c r="H37" t="s">
        <v>326</v>
      </c>
      <c r="I37" s="3" t="s">
        <v>36</v>
      </c>
      <c r="J37" t="s">
        <v>379</v>
      </c>
    </row>
    <row r="38" spans="1:16">
      <c r="A38">
        <v>24256</v>
      </c>
      <c r="B38" t="s">
        <v>250</v>
      </c>
      <c r="C38">
        <v>39256</v>
      </c>
      <c r="E38">
        <v>0</v>
      </c>
      <c r="F38">
        <f t="shared" si="1"/>
        <v>19256</v>
      </c>
      <c r="G38" t="s">
        <v>376</v>
      </c>
      <c r="H38" t="s">
        <v>253</v>
      </c>
    </row>
    <row r="39" spans="1:16">
      <c r="A39">
        <v>24342</v>
      </c>
      <c r="B39" t="s">
        <v>254</v>
      </c>
      <c r="C39">
        <v>39342</v>
      </c>
      <c r="E39">
        <v>0</v>
      </c>
      <c r="F39">
        <f t="shared" si="1"/>
        <v>19342</v>
      </c>
      <c r="G39" t="s">
        <v>376</v>
      </c>
      <c r="H39" t="s">
        <v>255</v>
      </c>
      <c r="I39" s="3" t="s">
        <v>418</v>
      </c>
      <c r="J39" t="s">
        <v>340</v>
      </c>
    </row>
    <row r="40" spans="1:16">
      <c r="A40">
        <v>24369</v>
      </c>
      <c r="B40" t="s">
        <v>302</v>
      </c>
      <c r="C40">
        <v>39369</v>
      </c>
      <c r="E40">
        <v>0</v>
      </c>
      <c r="F40">
        <f t="shared" si="1"/>
        <v>19369</v>
      </c>
      <c r="G40" t="s">
        <v>376</v>
      </c>
      <c r="H40" t="s">
        <v>303</v>
      </c>
      <c r="I40" s="3" t="s">
        <v>276</v>
      </c>
      <c r="J40" t="s">
        <v>107</v>
      </c>
      <c r="K40" t="s">
        <v>419</v>
      </c>
      <c r="L40" t="s">
        <v>420</v>
      </c>
      <c r="M40" t="s">
        <v>303</v>
      </c>
    </row>
    <row r="41" spans="1:16">
      <c r="A41">
        <v>27013</v>
      </c>
      <c r="B41" t="s">
        <v>286</v>
      </c>
      <c r="C41">
        <v>42013</v>
      </c>
      <c r="E41">
        <v>0</v>
      </c>
      <c r="F41">
        <f t="shared" si="1"/>
        <v>22013</v>
      </c>
      <c r="G41" t="s">
        <v>376</v>
      </c>
      <c r="H41" t="s">
        <v>288</v>
      </c>
      <c r="I41" s="3" t="s">
        <v>39</v>
      </c>
      <c r="J41" t="s">
        <v>228</v>
      </c>
      <c r="K41" t="s">
        <v>421</v>
      </c>
      <c r="L41" t="s">
        <v>422</v>
      </c>
      <c r="M41" t="s">
        <v>423</v>
      </c>
      <c r="N41" t="s">
        <v>424</v>
      </c>
      <c r="O41" t="s">
        <v>425</v>
      </c>
      <c r="P41" t="s">
        <v>426</v>
      </c>
    </row>
    <row r="42" spans="1:16">
      <c r="A42">
        <v>28619</v>
      </c>
      <c r="B42" t="s">
        <v>304</v>
      </c>
      <c r="C42">
        <v>43619</v>
      </c>
      <c r="E42">
        <v>0</v>
      </c>
      <c r="F42">
        <f t="shared" si="1"/>
        <v>23619</v>
      </c>
      <c r="G42" t="s">
        <v>376</v>
      </c>
      <c r="H42" t="s">
        <v>303</v>
      </c>
      <c r="I42" s="3" t="s">
        <v>176</v>
      </c>
      <c r="J42" t="s">
        <v>381</v>
      </c>
      <c r="K42" t="s">
        <v>427</v>
      </c>
    </row>
    <row r="43" spans="1:16">
      <c r="A43">
        <v>30090</v>
      </c>
      <c r="B43" t="s">
        <v>307</v>
      </c>
      <c r="C43">
        <v>45090</v>
      </c>
      <c r="E43">
        <v>0</v>
      </c>
      <c r="F43">
        <f t="shared" si="1"/>
        <v>25090</v>
      </c>
      <c r="G43" t="s">
        <v>376</v>
      </c>
      <c r="H43" t="s">
        <v>306</v>
      </c>
      <c r="I43" s="3" t="s">
        <v>428</v>
      </c>
      <c r="J43" t="s">
        <v>318</v>
      </c>
    </row>
    <row r="44" spans="1:16">
      <c r="A44">
        <v>34000</v>
      </c>
      <c r="B44" t="s">
        <v>271</v>
      </c>
      <c r="C44">
        <v>49000</v>
      </c>
      <c r="E44">
        <v>0</v>
      </c>
      <c r="F44">
        <f t="shared" si="1"/>
        <v>29000</v>
      </c>
      <c r="G44" t="s">
        <v>376</v>
      </c>
      <c r="H44" t="s">
        <v>270</v>
      </c>
    </row>
    <row r="45" spans="1:16">
      <c r="A45">
        <v>34978</v>
      </c>
      <c r="B45" t="s">
        <v>257</v>
      </c>
      <c r="C45">
        <v>49978</v>
      </c>
      <c r="E45">
        <v>0</v>
      </c>
      <c r="F45">
        <f t="shared" si="1"/>
        <v>29978</v>
      </c>
      <c r="G45" t="s">
        <v>376</v>
      </c>
      <c r="H45" t="s">
        <v>256</v>
      </c>
      <c r="I45" s="3" t="s">
        <v>430</v>
      </c>
      <c r="J45" t="s">
        <v>431</v>
      </c>
      <c r="K45" t="s">
        <v>432</v>
      </c>
      <c r="L45" t="s">
        <v>433</v>
      </c>
      <c r="M45" t="s">
        <v>434</v>
      </c>
      <c r="N45" t="s">
        <v>405</v>
      </c>
      <c r="O45" t="s">
        <v>435</v>
      </c>
      <c r="P45" t="s">
        <v>436</v>
      </c>
    </row>
    <row r="46" spans="1:16">
      <c r="A46">
        <v>35146</v>
      </c>
      <c r="B46" t="s">
        <v>317</v>
      </c>
      <c r="C46">
        <v>50146</v>
      </c>
      <c r="E46">
        <v>0</v>
      </c>
      <c r="F46">
        <f t="shared" si="1"/>
        <v>30146</v>
      </c>
      <c r="G46" t="s">
        <v>376</v>
      </c>
      <c r="H46" t="s">
        <v>316</v>
      </c>
      <c r="I46" s="3" t="s">
        <v>298</v>
      </c>
      <c r="J46" t="s">
        <v>318</v>
      </c>
      <c r="K46" t="s">
        <v>316</v>
      </c>
      <c r="L46" t="s">
        <v>437</v>
      </c>
      <c r="M46" t="s">
        <v>438</v>
      </c>
      <c r="N46" t="s">
        <v>439</v>
      </c>
      <c r="O46" t="s">
        <v>440</v>
      </c>
    </row>
    <row r="47" spans="1:16">
      <c r="A47">
        <v>36101</v>
      </c>
      <c r="B47" t="s">
        <v>265</v>
      </c>
      <c r="C47">
        <v>51101</v>
      </c>
      <c r="E47">
        <v>0</v>
      </c>
      <c r="F47">
        <f t="shared" si="1"/>
        <v>31101</v>
      </c>
      <c r="G47" t="s">
        <v>376</v>
      </c>
      <c r="H47" t="s">
        <v>264</v>
      </c>
      <c r="I47" s="3" t="s">
        <v>441</v>
      </c>
      <c r="J47" t="s">
        <v>442</v>
      </c>
      <c r="K47" t="s">
        <v>340</v>
      </c>
    </row>
    <row r="48" spans="1:16">
      <c r="A48">
        <v>38572</v>
      </c>
      <c r="B48" t="s">
        <v>262</v>
      </c>
      <c r="C48">
        <v>53572</v>
      </c>
      <c r="E48">
        <v>0</v>
      </c>
      <c r="F48">
        <f t="shared" si="1"/>
        <v>33572</v>
      </c>
      <c r="G48" t="s">
        <v>376</v>
      </c>
      <c r="H48" t="s">
        <v>261</v>
      </c>
      <c r="I48" s="3" t="s">
        <v>36</v>
      </c>
      <c r="J48" t="s">
        <v>448</v>
      </c>
      <c r="K48" t="s">
        <v>446</v>
      </c>
      <c r="L48" t="s">
        <v>447</v>
      </c>
    </row>
    <row r="49" spans="1:15">
      <c r="A49">
        <v>75313</v>
      </c>
      <c r="B49" t="s">
        <v>312</v>
      </c>
      <c r="C49">
        <v>90313</v>
      </c>
      <c r="E49">
        <v>1</v>
      </c>
      <c r="F49">
        <f t="shared" si="1"/>
        <v>70313</v>
      </c>
      <c r="G49" t="s">
        <v>376</v>
      </c>
      <c r="H49" t="s">
        <v>311</v>
      </c>
      <c r="I49" s="3" t="s">
        <v>449</v>
      </c>
      <c r="J49" t="s">
        <v>450</v>
      </c>
    </row>
    <row r="50" spans="1:15">
      <c r="A50">
        <v>15021</v>
      </c>
      <c r="B50" t="s">
        <v>236</v>
      </c>
      <c r="C50">
        <v>30021</v>
      </c>
      <c r="E50">
        <v>0</v>
      </c>
      <c r="F50">
        <f t="shared" si="1"/>
        <v>10021</v>
      </c>
      <c r="G50" t="s">
        <v>375</v>
      </c>
      <c r="H50" t="s">
        <v>235</v>
      </c>
      <c r="I50" s="3" t="s">
        <v>242</v>
      </c>
    </row>
    <row r="51" spans="1:15">
      <c r="A51">
        <v>15422</v>
      </c>
      <c r="B51" t="s">
        <v>165</v>
      </c>
      <c r="C51">
        <v>30422</v>
      </c>
      <c r="E51">
        <v>0</v>
      </c>
      <c r="F51">
        <f t="shared" si="1"/>
        <v>10422</v>
      </c>
      <c r="G51" t="s">
        <v>375</v>
      </c>
      <c r="H51" t="s">
        <v>164</v>
      </c>
    </row>
    <row r="52" spans="1:15">
      <c r="A52">
        <v>15442</v>
      </c>
      <c r="B52" t="s">
        <v>243</v>
      </c>
      <c r="C52">
        <v>30442</v>
      </c>
      <c r="E52">
        <v>0</v>
      </c>
      <c r="F52">
        <f t="shared" si="1"/>
        <v>10442</v>
      </c>
      <c r="G52" t="s">
        <v>375</v>
      </c>
      <c r="H52" t="s">
        <v>242</v>
      </c>
      <c r="I52" s="3" t="s">
        <v>451</v>
      </c>
      <c r="J52" t="s">
        <v>452</v>
      </c>
    </row>
    <row r="53" spans="1:15">
      <c r="A53">
        <v>15651</v>
      </c>
      <c r="B53" t="s">
        <v>159</v>
      </c>
      <c r="C53">
        <v>30651</v>
      </c>
      <c r="E53">
        <v>0</v>
      </c>
      <c r="F53">
        <f t="shared" si="1"/>
        <v>10651</v>
      </c>
      <c r="G53" t="s">
        <v>375</v>
      </c>
      <c r="H53" t="s">
        <v>158</v>
      </c>
      <c r="I53" s="3" t="s">
        <v>453</v>
      </c>
      <c r="J53" t="s">
        <v>454</v>
      </c>
      <c r="K53" t="s">
        <v>276</v>
      </c>
      <c r="L53" t="s">
        <v>130</v>
      </c>
    </row>
    <row r="54" spans="1:15">
      <c r="A54">
        <v>15701</v>
      </c>
      <c r="B54" t="s">
        <v>239</v>
      </c>
      <c r="C54">
        <v>30701</v>
      </c>
      <c r="E54">
        <v>0</v>
      </c>
      <c r="F54">
        <f t="shared" si="1"/>
        <v>10701</v>
      </c>
      <c r="G54" t="s">
        <v>375</v>
      </c>
      <c r="H54" t="s">
        <v>235</v>
      </c>
      <c r="I54" s="3" t="s">
        <v>452</v>
      </c>
    </row>
    <row r="55" spans="1:15">
      <c r="A55">
        <v>16078</v>
      </c>
      <c r="B55" t="s">
        <v>246</v>
      </c>
      <c r="C55">
        <v>31078</v>
      </c>
      <c r="E55">
        <v>0</v>
      </c>
      <c r="F55">
        <f t="shared" si="1"/>
        <v>11078</v>
      </c>
      <c r="G55" t="s">
        <v>375</v>
      </c>
      <c r="H55" t="s">
        <v>242</v>
      </c>
    </row>
    <row r="56" spans="1:15">
      <c r="A56">
        <v>17009</v>
      </c>
      <c r="B56" t="s">
        <v>184</v>
      </c>
      <c r="C56">
        <v>32009</v>
      </c>
      <c r="E56">
        <v>0</v>
      </c>
      <c r="F56">
        <f t="shared" si="1"/>
        <v>12009</v>
      </c>
      <c r="G56" t="s">
        <v>375</v>
      </c>
      <c r="H56" t="s">
        <v>183</v>
      </c>
      <c r="I56" s="3" t="s">
        <v>333</v>
      </c>
      <c r="J56" t="s">
        <v>81</v>
      </c>
      <c r="K56" t="s">
        <v>197</v>
      </c>
    </row>
    <row r="57" spans="1:15">
      <c r="A57">
        <v>17444</v>
      </c>
      <c r="B57" t="s">
        <v>233</v>
      </c>
      <c r="C57">
        <v>32444</v>
      </c>
      <c r="E57">
        <v>0</v>
      </c>
      <c r="F57">
        <f t="shared" si="1"/>
        <v>12444</v>
      </c>
      <c r="G57" t="s">
        <v>375</v>
      </c>
      <c r="H57" t="s">
        <v>234</v>
      </c>
      <c r="I57" s="3" t="s">
        <v>455</v>
      </c>
      <c r="J57" t="s">
        <v>103</v>
      </c>
      <c r="K57" t="s">
        <v>456</v>
      </c>
      <c r="L57" t="s">
        <v>431</v>
      </c>
      <c r="M57" t="s">
        <v>94</v>
      </c>
    </row>
    <row r="58" spans="1:15">
      <c r="A58">
        <v>17896</v>
      </c>
      <c r="B58" t="s">
        <v>218</v>
      </c>
      <c r="C58">
        <v>32896</v>
      </c>
      <c r="E58">
        <v>0</v>
      </c>
      <c r="F58">
        <f t="shared" si="1"/>
        <v>12896</v>
      </c>
      <c r="G58" t="s">
        <v>375</v>
      </c>
      <c r="H58" t="s">
        <v>217</v>
      </c>
      <c r="I58" s="3" t="s">
        <v>319</v>
      </c>
      <c r="J58" t="s">
        <v>340</v>
      </c>
    </row>
    <row r="59" spans="1:15">
      <c r="A59">
        <v>18177</v>
      </c>
      <c r="B59" t="s">
        <v>224</v>
      </c>
      <c r="C59">
        <v>33177</v>
      </c>
      <c r="E59">
        <v>0</v>
      </c>
      <c r="F59">
        <f t="shared" si="1"/>
        <v>13177</v>
      </c>
      <c r="G59" t="s">
        <v>375</v>
      </c>
      <c r="H59" t="s">
        <v>223</v>
      </c>
      <c r="I59" s="3" t="s">
        <v>303</v>
      </c>
      <c r="J59" t="s">
        <v>457</v>
      </c>
    </row>
    <row r="60" spans="1:15">
      <c r="A60">
        <v>19545</v>
      </c>
      <c r="B60" t="s">
        <v>210</v>
      </c>
      <c r="C60">
        <v>34545</v>
      </c>
      <c r="E60">
        <v>0</v>
      </c>
      <c r="F60">
        <f t="shared" si="1"/>
        <v>14545</v>
      </c>
      <c r="G60" t="s">
        <v>375</v>
      </c>
      <c r="H60" t="s">
        <v>209</v>
      </c>
    </row>
    <row r="61" spans="1:15">
      <c r="A61">
        <v>20307</v>
      </c>
      <c r="B61" t="s">
        <v>216</v>
      </c>
      <c r="C61">
        <v>35307</v>
      </c>
      <c r="E61">
        <v>0</v>
      </c>
      <c r="F61">
        <f t="shared" si="1"/>
        <v>15307</v>
      </c>
      <c r="G61" t="s">
        <v>375</v>
      </c>
      <c r="H61" t="s">
        <v>215</v>
      </c>
      <c r="I61" s="3" t="s">
        <v>458</v>
      </c>
      <c r="J61" t="s">
        <v>459</v>
      </c>
      <c r="K61" t="s">
        <v>460</v>
      </c>
      <c r="L61" t="s">
        <v>199</v>
      </c>
      <c r="M61" t="s">
        <v>461</v>
      </c>
      <c r="N61" t="s">
        <v>389</v>
      </c>
      <c r="O61" t="s">
        <v>462</v>
      </c>
    </row>
    <row r="62" spans="1:15">
      <c r="A62">
        <v>20783</v>
      </c>
      <c r="B62" t="s">
        <v>195</v>
      </c>
      <c r="C62">
        <v>35783</v>
      </c>
      <c r="E62">
        <v>0</v>
      </c>
      <c r="F62">
        <f t="shared" si="1"/>
        <v>15783</v>
      </c>
      <c r="G62" t="s">
        <v>375</v>
      </c>
      <c r="H62" t="s">
        <v>194</v>
      </c>
    </row>
    <row r="63" spans="1:15">
      <c r="A63">
        <v>22577</v>
      </c>
      <c r="B63" t="s">
        <v>187</v>
      </c>
      <c r="C63">
        <v>37577</v>
      </c>
      <c r="E63">
        <v>0</v>
      </c>
      <c r="F63">
        <f t="shared" si="1"/>
        <v>17577</v>
      </c>
      <c r="G63" t="s">
        <v>375</v>
      </c>
      <c r="H63" t="s">
        <v>186</v>
      </c>
      <c r="I63" s="3" t="s">
        <v>172</v>
      </c>
      <c r="J63" t="s">
        <v>320</v>
      </c>
      <c r="K63" t="s">
        <v>464</v>
      </c>
    </row>
    <row r="64" spans="1:15">
      <c r="A64">
        <v>28883</v>
      </c>
      <c r="B64" t="s">
        <v>155</v>
      </c>
      <c r="C64">
        <v>43883</v>
      </c>
      <c r="E64">
        <v>0</v>
      </c>
      <c r="F64">
        <f t="shared" si="1"/>
        <v>23883</v>
      </c>
      <c r="G64" t="s">
        <v>375</v>
      </c>
      <c r="H64" t="s">
        <v>154</v>
      </c>
      <c r="I64" s="3" t="s">
        <v>392</v>
      </c>
      <c r="J64" t="s">
        <v>465</v>
      </c>
      <c r="K64" t="s">
        <v>466</v>
      </c>
      <c r="L64" t="s">
        <v>467</v>
      </c>
      <c r="M64" t="s">
        <v>468</v>
      </c>
    </row>
    <row r="65" spans="1:16">
      <c r="A65">
        <v>29470</v>
      </c>
      <c r="B65" t="s">
        <v>206</v>
      </c>
      <c r="C65">
        <v>44470</v>
      </c>
      <c r="E65">
        <v>0</v>
      </c>
      <c r="F65">
        <f t="shared" si="1"/>
        <v>24470</v>
      </c>
      <c r="G65" t="s">
        <v>375</v>
      </c>
      <c r="H65" t="s">
        <v>205</v>
      </c>
      <c r="I65" s="3" t="s">
        <v>205</v>
      </c>
    </row>
    <row r="66" spans="1:16">
      <c r="A66">
        <v>32126</v>
      </c>
      <c r="B66" t="s">
        <v>221</v>
      </c>
      <c r="C66">
        <v>47126</v>
      </c>
      <c r="E66">
        <v>0</v>
      </c>
      <c r="F66">
        <f t="shared" ref="F66:F73" si="2">A66+15000-20000</f>
        <v>27126</v>
      </c>
      <c r="G66" t="s">
        <v>375</v>
      </c>
      <c r="H66" t="s">
        <v>220</v>
      </c>
      <c r="I66" s="3" t="s">
        <v>469</v>
      </c>
      <c r="J66" t="s">
        <v>470</v>
      </c>
      <c r="K66" t="s">
        <v>471</v>
      </c>
      <c r="L66" t="s">
        <v>465</v>
      </c>
      <c r="M66" t="s">
        <v>201</v>
      </c>
    </row>
    <row r="67" spans="1:16">
      <c r="A67">
        <v>32805</v>
      </c>
      <c r="B67" t="s">
        <v>173</v>
      </c>
      <c r="C67">
        <v>47805</v>
      </c>
      <c r="E67">
        <v>0</v>
      </c>
      <c r="F67">
        <f t="shared" si="2"/>
        <v>27805</v>
      </c>
      <c r="G67" t="s">
        <v>375</v>
      </c>
      <c r="H67" t="s">
        <v>172</v>
      </c>
      <c r="I67" s="3" t="s">
        <v>472</v>
      </c>
      <c r="J67" t="s">
        <v>473</v>
      </c>
      <c r="K67" t="s">
        <v>172</v>
      </c>
    </row>
    <row r="68" spans="1:16">
      <c r="A68">
        <v>33699</v>
      </c>
      <c r="B68" t="s">
        <v>231</v>
      </c>
      <c r="C68">
        <v>48699</v>
      </c>
      <c r="E68">
        <v>0</v>
      </c>
      <c r="F68">
        <f t="shared" si="2"/>
        <v>28699</v>
      </c>
      <c r="G68" t="s">
        <v>375</v>
      </c>
      <c r="H68" t="s">
        <v>230</v>
      </c>
      <c r="I68" s="3" t="s">
        <v>172</v>
      </c>
    </row>
    <row r="69" spans="1:16">
      <c r="A69">
        <v>35890</v>
      </c>
      <c r="B69" t="s">
        <v>169</v>
      </c>
      <c r="C69">
        <v>50890</v>
      </c>
      <c r="E69">
        <v>1</v>
      </c>
      <c r="F69">
        <f t="shared" si="2"/>
        <v>30890</v>
      </c>
      <c r="G69" t="s">
        <v>375</v>
      </c>
      <c r="H69" t="s">
        <v>168</v>
      </c>
      <c r="I69" s="3" t="s">
        <v>474</v>
      </c>
      <c r="J69" t="s">
        <v>475</v>
      </c>
      <c r="K69" t="s">
        <v>476</v>
      </c>
    </row>
    <row r="70" spans="1:16">
      <c r="A70">
        <v>36718</v>
      </c>
      <c r="B70" t="s">
        <v>203</v>
      </c>
      <c r="C70">
        <v>51718</v>
      </c>
      <c r="E70">
        <v>0</v>
      </c>
      <c r="F70">
        <f t="shared" si="2"/>
        <v>31718</v>
      </c>
      <c r="G70" t="s">
        <v>375</v>
      </c>
      <c r="H70" t="s">
        <v>202</v>
      </c>
      <c r="I70" s="3" t="s">
        <v>477</v>
      </c>
      <c r="J70" t="s">
        <v>478</v>
      </c>
    </row>
    <row r="71" spans="1:16">
      <c r="A71">
        <v>37058</v>
      </c>
      <c r="B71" t="s">
        <v>180</v>
      </c>
      <c r="C71">
        <v>52058</v>
      </c>
      <c r="E71">
        <v>0</v>
      </c>
      <c r="F71">
        <f t="shared" si="2"/>
        <v>32058</v>
      </c>
      <c r="G71" t="s">
        <v>375</v>
      </c>
      <c r="H71" t="s">
        <v>182</v>
      </c>
      <c r="I71" s="3" t="s">
        <v>301</v>
      </c>
      <c r="J71" t="s">
        <v>479</v>
      </c>
    </row>
    <row r="72" spans="1:16">
      <c r="A72">
        <v>37327</v>
      </c>
      <c r="B72" t="s">
        <v>247</v>
      </c>
      <c r="C72">
        <v>52327</v>
      </c>
      <c r="E72">
        <v>0</v>
      </c>
      <c r="F72">
        <f t="shared" si="2"/>
        <v>32327</v>
      </c>
      <c r="G72" t="s">
        <v>375</v>
      </c>
      <c r="H72" t="s">
        <v>249</v>
      </c>
      <c r="I72" s="3" t="s">
        <v>443</v>
      </c>
      <c r="J72" t="s">
        <v>284</v>
      </c>
      <c r="K72" t="s">
        <v>444</v>
      </c>
      <c r="L72" t="s">
        <v>445</v>
      </c>
      <c r="M72" t="s">
        <v>94</v>
      </c>
      <c r="N72" t="s">
        <v>480</v>
      </c>
    </row>
    <row r="73" spans="1:16">
      <c r="A73">
        <v>53739</v>
      </c>
      <c r="B73" t="s">
        <v>213</v>
      </c>
      <c r="C73">
        <v>68739</v>
      </c>
      <c r="E73">
        <v>0</v>
      </c>
      <c r="F73">
        <f t="shared" si="2"/>
        <v>48739</v>
      </c>
      <c r="G73" t="s">
        <v>375</v>
      </c>
      <c r="H73" t="s">
        <v>212</v>
      </c>
      <c r="I73" s="3" t="s">
        <v>481</v>
      </c>
    </row>
    <row r="76" spans="1:16">
      <c r="A76">
        <v>15364</v>
      </c>
      <c r="B76" t="s">
        <v>368</v>
      </c>
      <c r="C76">
        <v>30364</v>
      </c>
      <c r="D76">
        <v>1</v>
      </c>
      <c r="E76">
        <v>1</v>
      </c>
      <c r="F76">
        <f t="shared" ref="F76:F103" si="3">A76+15000-20000</f>
        <v>10364</v>
      </c>
      <c r="I76" s="3" t="s">
        <v>323</v>
      </c>
      <c r="J76" t="s">
        <v>318</v>
      </c>
      <c r="K76" t="s">
        <v>189</v>
      </c>
      <c r="L76" t="s">
        <v>121</v>
      </c>
    </row>
    <row r="77" spans="1:16" ht="15">
      <c r="A77">
        <v>15794</v>
      </c>
      <c r="B77" t="s">
        <v>365</v>
      </c>
      <c r="C77">
        <v>30794</v>
      </c>
      <c r="D77">
        <v>1</v>
      </c>
      <c r="E77">
        <v>1</v>
      </c>
      <c r="F77">
        <f t="shared" si="3"/>
        <v>10794</v>
      </c>
      <c r="I77" s="3" t="s">
        <v>38</v>
      </c>
      <c r="J77" t="s">
        <v>107</v>
      </c>
      <c r="K77" t="s">
        <v>71</v>
      </c>
      <c r="L77" t="s">
        <v>482</v>
      </c>
      <c r="M77" t="s">
        <v>177</v>
      </c>
      <c r="N77" t="s">
        <v>130</v>
      </c>
      <c r="O77" t="s">
        <v>483</v>
      </c>
      <c r="P77" t="s">
        <v>484</v>
      </c>
    </row>
    <row r="78" spans="1:16">
      <c r="A78">
        <v>15972</v>
      </c>
      <c r="B78" t="s">
        <v>352</v>
      </c>
      <c r="C78">
        <v>30972</v>
      </c>
      <c r="D78">
        <v>1</v>
      </c>
      <c r="E78">
        <v>0</v>
      </c>
      <c r="F78">
        <f t="shared" si="3"/>
        <v>10972</v>
      </c>
      <c r="I78" s="3" t="s">
        <v>485</v>
      </c>
      <c r="J78" t="s">
        <v>486</v>
      </c>
      <c r="K78" t="s">
        <v>158</v>
      </c>
      <c r="L78" t="s">
        <v>487</v>
      </c>
    </row>
    <row r="79" spans="1:16">
      <c r="A79">
        <v>16202</v>
      </c>
      <c r="B79" t="s">
        <v>345</v>
      </c>
      <c r="C79">
        <v>31202</v>
      </c>
      <c r="D79">
        <v>1</v>
      </c>
      <c r="E79">
        <v>1</v>
      </c>
      <c r="F79">
        <f t="shared" si="3"/>
        <v>11202</v>
      </c>
      <c r="I79" s="3" t="s">
        <v>219</v>
      </c>
      <c r="J79" t="s">
        <v>431</v>
      </c>
      <c r="K79" t="s">
        <v>488</v>
      </c>
      <c r="L79" t="s">
        <v>318</v>
      </c>
    </row>
    <row r="80" spans="1:16">
      <c r="A80">
        <v>16234</v>
      </c>
      <c r="B80" t="s">
        <v>361</v>
      </c>
      <c r="C80">
        <v>31234</v>
      </c>
      <c r="D80">
        <v>1</v>
      </c>
      <c r="E80">
        <v>0</v>
      </c>
      <c r="F80">
        <f t="shared" si="3"/>
        <v>11234</v>
      </c>
      <c r="I80" s="3" t="s">
        <v>328</v>
      </c>
      <c r="J80" t="s">
        <v>21</v>
      </c>
      <c r="K80" t="s">
        <v>461</v>
      </c>
      <c r="L80" t="s">
        <v>489</v>
      </c>
      <c r="M80" t="s">
        <v>490</v>
      </c>
      <c r="N80" t="s">
        <v>227</v>
      </c>
    </row>
    <row r="81" spans="1:15">
      <c r="A81">
        <v>16495</v>
      </c>
      <c r="B81" t="s">
        <v>351</v>
      </c>
      <c r="C81">
        <v>31495</v>
      </c>
      <c r="D81">
        <v>1</v>
      </c>
      <c r="E81">
        <v>1</v>
      </c>
      <c r="F81">
        <f t="shared" si="3"/>
        <v>11495</v>
      </c>
      <c r="I81" s="3" t="s">
        <v>491</v>
      </c>
      <c r="J81" t="s">
        <v>492</v>
      </c>
      <c r="K81" t="s">
        <v>493</v>
      </c>
      <c r="L81" t="s">
        <v>494</v>
      </c>
      <c r="M81" t="s">
        <v>495</v>
      </c>
      <c r="N81" t="s">
        <v>283</v>
      </c>
      <c r="O81" t="s">
        <v>496</v>
      </c>
    </row>
    <row r="82" spans="1:15">
      <c r="A82">
        <v>17937</v>
      </c>
      <c r="B82" t="s">
        <v>354</v>
      </c>
      <c r="C82">
        <v>32937</v>
      </c>
      <c r="D82">
        <v>1</v>
      </c>
      <c r="E82">
        <v>0</v>
      </c>
      <c r="F82">
        <f t="shared" si="3"/>
        <v>12937</v>
      </c>
      <c r="I82" s="3" t="s">
        <v>497</v>
      </c>
      <c r="J82" t="s">
        <v>498</v>
      </c>
      <c r="K82" t="s">
        <v>499</v>
      </c>
      <c r="L82" t="s">
        <v>500</v>
      </c>
      <c r="M82" t="s">
        <v>501</v>
      </c>
      <c r="N82" t="s">
        <v>502</v>
      </c>
    </row>
    <row r="83" spans="1:15" ht="16">
      <c r="A83">
        <v>18436</v>
      </c>
      <c r="B83" t="s">
        <v>346</v>
      </c>
      <c r="C83">
        <v>33436</v>
      </c>
      <c r="D83">
        <v>1</v>
      </c>
      <c r="E83">
        <v>1</v>
      </c>
      <c r="F83">
        <f t="shared" si="3"/>
        <v>13436</v>
      </c>
      <c r="I83" s="3" t="s">
        <v>503</v>
      </c>
      <c r="J83" t="s">
        <v>504</v>
      </c>
      <c r="K83" t="s">
        <v>505</v>
      </c>
      <c r="L83" t="s">
        <v>506</v>
      </c>
      <c r="M83" t="s">
        <v>507</v>
      </c>
      <c r="N83" t="s">
        <v>508</v>
      </c>
    </row>
    <row r="84" spans="1:15">
      <c r="A84">
        <v>20505</v>
      </c>
      <c r="B84" t="s">
        <v>358</v>
      </c>
      <c r="C84">
        <v>35505</v>
      </c>
      <c r="D84">
        <v>1</v>
      </c>
      <c r="E84">
        <v>1</v>
      </c>
      <c r="F84">
        <f t="shared" si="3"/>
        <v>15505</v>
      </c>
      <c r="I84" s="3" t="s">
        <v>150</v>
      </c>
      <c r="J84" t="s">
        <v>76</v>
      </c>
      <c r="K84" t="s">
        <v>241</v>
      </c>
      <c r="L84" t="s">
        <v>509</v>
      </c>
      <c r="M84" t="s">
        <v>510</v>
      </c>
      <c r="N84" t="s">
        <v>511</v>
      </c>
    </row>
    <row r="85" spans="1:15">
      <c r="A85">
        <v>21058</v>
      </c>
      <c r="B85" t="s">
        <v>356</v>
      </c>
      <c r="C85">
        <v>36058</v>
      </c>
      <c r="D85">
        <v>1</v>
      </c>
      <c r="E85">
        <v>1</v>
      </c>
      <c r="F85">
        <f t="shared" si="3"/>
        <v>16058</v>
      </c>
      <c r="I85" s="3" t="s">
        <v>512</v>
      </c>
      <c r="J85" t="s">
        <v>154</v>
      </c>
      <c r="K85" t="s">
        <v>513</v>
      </c>
    </row>
    <row r="86" spans="1:15">
      <c r="A86">
        <v>21101</v>
      </c>
      <c r="B86" t="s">
        <v>362</v>
      </c>
      <c r="C86">
        <v>36101</v>
      </c>
      <c r="D86">
        <v>1</v>
      </c>
      <c r="E86">
        <v>1</v>
      </c>
      <c r="F86">
        <f t="shared" si="3"/>
        <v>16101</v>
      </c>
      <c r="I86" s="3" t="s">
        <v>108</v>
      </c>
      <c r="J86" t="s">
        <v>515</v>
      </c>
      <c r="K86" t="s">
        <v>513</v>
      </c>
      <c r="L86" t="s">
        <v>514</v>
      </c>
      <c r="M86" t="s">
        <v>516</v>
      </c>
      <c r="N86" t="s">
        <v>517</v>
      </c>
    </row>
    <row r="87" spans="1:15">
      <c r="A87">
        <v>22054</v>
      </c>
      <c r="B87" t="s">
        <v>364</v>
      </c>
      <c r="C87">
        <v>37054</v>
      </c>
      <c r="D87">
        <v>1</v>
      </c>
      <c r="E87">
        <v>1</v>
      </c>
      <c r="F87">
        <f t="shared" si="3"/>
        <v>17054</v>
      </c>
      <c r="I87" s="3" t="s">
        <v>518</v>
      </c>
      <c r="J87" t="s">
        <v>465</v>
      </c>
      <c r="K87" t="s">
        <v>519</v>
      </c>
      <c r="L87" t="s">
        <v>520</v>
      </c>
    </row>
    <row r="88" spans="1:15">
      <c r="A88">
        <v>23326</v>
      </c>
      <c r="B88" t="s">
        <v>357</v>
      </c>
      <c r="C88">
        <v>38326</v>
      </c>
      <c r="D88">
        <v>1</v>
      </c>
      <c r="E88">
        <v>1</v>
      </c>
      <c r="F88">
        <f t="shared" si="3"/>
        <v>18326</v>
      </c>
      <c r="I88" s="3" t="s">
        <v>521</v>
      </c>
      <c r="J88" t="s">
        <v>138</v>
      </c>
      <c r="K88" t="s">
        <v>373</v>
      </c>
      <c r="L88" t="s">
        <v>39</v>
      </c>
      <c r="M88" t="s">
        <v>200</v>
      </c>
      <c r="N88" t="s">
        <v>522</v>
      </c>
    </row>
    <row r="89" spans="1:15">
      <c r="A89">
        <v>23368</v>
      </c>
      <c r="B89" t="s">
        <v>348</v>
      </c>
      <c r="C89">
        <v>38368</v>
      </c>
      <c r="D89">
        <v>1</v>
      </c>
      <c r="E89">
        <v>1</v>
      </c>
      <c r="F89">
        <f t="shared" si="3"/>
        <v>18368</v>
      </c>
      <c r="I89" s="3" t="s">
        <v>64</v>
      </c>
      <c r="J89" t="s">
        <v>523</v>
      </c>
      <c r="K89" t="s">
        <v>524</v>
      </c>
      <c r="L89" t="s">
        <v>525</v>
      </c>
    </row>
    <row r="90" spans="1:15">
      <c r="A90">
        <v>23653</v>
      </c>
      <c r="B90" t="s">
        <v>350</v>
      </c>
      <c r="C90">
        <v>38653</v>
      </c>
      <c r="D90">
        <v>1</v>
      </c>
      <c r="E90">
        <v>1</v>
      </c>
      <c r="F90">
        <f t="shared" si="3"/>
        <v>18653</v>
      </c>
      <c r="I90" s="3" t="s">
        <v>526</v>
      </c>
      <c r="J90" t="s">
        <v>200</v>
      </c>
      <c r="K90" t="s">
        <v>229</v>
      </c>
      <c r="L90" t="s">
        <v>527</v>
      </c>
      <c r="M90" t="s">
        <v>507</v>
      </c>
      <c r="N90" t="s">
        <v>528</v>
      </c>
    </row>
    <row r="91" spans="1:15">
      <c r="A91">
        <v>23877</v>
      </c>
      <c r="B91" t="s">
        <v>349</v>
      </c>
      <c r="C91">
        <v>38877</v>
      </c>
      <c r="D91">
        <v>1</v>
      </c>
      <c r="E91">
        <v>1</v>
      </c>
      <c r="F91">
        <f t="shared" si="3"/>
        <v>18877</v>
      </c>
      <c r="I91" s="3" t="s">
        <v>518</v>
      </c>
      <c r="J91" t="s">
        <v>529</v>
      </c>
      <c r="K91" t="s">
        <v>154</v>
      </c>
      <c r="L91" t="s">
        <v>530</v>
      </c>
    </row>
    <row r="92" spans="1:15">
      <c r="A92">
        <v>25527</v>
      </c>
      <c r="B92" t="s">
        <v>366</v>
      </c>
      <c r="C92">
        <v>40527</v>
      </c>
      <c r="D92">
        <v>1</v>
      </c>
      <c r="E92">
        <v>1</v>
      </c>
      <c r="F92">
        <f t="shared" si="3"/>
        <v>20527</v>
      </c>
      <c r="I92" s="3" t="s">
        <v>531</v>
      </c>
      <c r="J92" t="s">
        <v>532</v>
      </c>
      <c r="K92" t="s">
        <v>533</v>
      </c>
      <c r="L92" t="s">
        <v>534</v>
      </c>
    </row>
    <row r="93" spans="1:15">
      <c r="A93">
        <v>26196</v>
      </c>
      <c r="B93" t="s">
        <v>369</v>
      </c>
      <c r="C93">
        <v>41196</v>
      </c>
      <c r="D93">
        <v>1</v>
      </c>
      <c r="E93">
        <v>1</v>
      </c>
      <c r="F93">
        <f t="shared" si="3"/>
        <v>21196</v>
      </c>
      <c r="I93" s="3" t="s">
        <v>535</v>
      </c>
      <c r="J93" t="s">
        <v>449</v>
      </c>
      <c r="K93" t="s">
        <v>536</v>
      </c>
      <c r="L93" t="s">
        <v>537</v>
      </c>
      <c r="M93" t="s">
        <v>538</v>
      </c>
      <c r="N93" t="s">
        <v>539</v>
      </c>
      <c r="O93" t="s">
        <v>540</v>
      </c>
    </row>
    <row r="94" spans="1:15">
      <c r="A94">
        <v>26630</v>
      </c>
      <c r="B94" t="s">
        <v>344</v>
      </c>
      <c r="C94">
        <v>41630</v>
      </c>
      <c r="D94">
        <v>1</v>
      </c>
      <c r="E94">
        <v>1</v>
      </c>
      <c r="F94">
        <f t="shared" si="3"/>
        <v>21630</v>
      </c>
      <c r="I94" s="3" t="s">
        <v>277</v>
      </c>
      <c r="J94" t="s">
        <v>541</v>
      </c>
      <c r="K94" t="s">
        <v>542</v>
      </c>
      <c r="L94" t="s">
        <v>201</v>
      </c>
    </row>
    <row r="95" spans="1:15">
      <c r="A95">
        <v>27516</v>
      </c>
      <c r="B95" t="s">
        <v>363</v>
      </c>
      <c r="C95">
        <v>42516</v>
      </c>
      <c r="D95">
        <v>1</v>
      </c>
      <c r="E95">
        <v>1</v>
      </c>
      <c r="F95">
        <f t="shared" si="3"/>
        <v>22516</v>
      </c>
      <c r="I95" s="3" t="s">
        <v>519</v>
      </c>
      <c r="J95" t="s">
        <v>543</v>
      </c>
      <c r="K95" t="s">
        <v>544</v>
      </c>
      <c r="L95" t="s">
        <v>545</v>
      </c>
      <c r="M95" t="s">
        <v>475</v>
      </c>
    </row>
    <row r="96" spans="1:15">
      <c r="A96">
        <v>28490</v>
      </c>
      <c r="B96" t="s">
        <v>367</v>
      </c>
      <c r="C96">
        <v>43490</v>
      </c>
      <c r="D96">
        <v>1</v>
      </c>
      <c r="E96">
        <v>1</v>
      </c>
      <c r="F96">
        <f t="shared" si="3"/>
        <v>23490</v>
      </c>
      <c r="I96" s="3" t="s">
        <v>273</v>
      </c>
      <c r="J96" t="s">
        <v>172</v>
      </c>
      <c r="K96" t="s">
        <v>381</v>
      </c>
      <c r="L96" t="s">
        <v>200</v>
      </c>
    </row>
    <row r="97" spans="1:21">
      <c r="A97">
        <v>28632</v>
      </c>
      <c r="B97" t="s">
        <v>347</v>
      </c>
      <c r="C97">
        <v>43632</v>
      </c>
      <c r="D97">
        <v>1</v>
      </c>
      <c r="E97">
        <v>1</v>
      </c>
      <c r="F97">
        <f t="shared" si="3"/>
        <v>23632</v>
      </c>
      <c r="I97" s="3" t="s">
        <v>162</v>
      </c>
      <c r="J97" t="s">
        <v>546</v>
      </c>
      <c r="K97" t="s">
        <v>394</v>
      </c>
      <c r="L97" t="s">
        <v>392</v>
      </c>
      <c r="M97" t="s">
        <v>547</v>
      </c>
    </row>
    <row r="98" spans="1:21">
      <c r="A98">
        <v>33708</v>
      </c>
      <c r="B98" t="s">
        <v>353</v>
      </c>
      <c r="C98">
        <v>48708</v>
      </c>
      <c r="D98">
        <v>1</v>
      </c>
      <c r="E98">
        <v>1</v>
      </c>
      <c r="F98">
        <f t="shared" si="3"/>
        <v>28708</v>
      </c>
      <c r="I98" s="3" t="s">
        <v>552</v>
      </c>
      <c r="J98" t="s">
        <v>548</v>
      </c>
      <c r="K98" t="s">
        <v>549</v>
      </c>
      <c r="L98" t="s">
        <v>508</v>
      </c>
      <c r="M98" t="s">
        <v>163</v>
      </c>
      <c r="N98" t="s">
        <v>550</v>
      </c>
      <c r="O98" t="s">
        <v>551</v>
      </c>
      <c r="P98" t="s">
        <v>62</v>
      </c>
      <c r="Q98" t="s">
        <v>553</v>
      </c>
      <c r="R98" t="s">
        <v>94</v>
      </c>
      <c r="S98" t="s">
        <v>554</v>
      </c>
      <c r="T98" t="s">
        <v>228</v>
      </c>
      <c r="U98" t="s">
        <v>188</v>
      </c>
    </row>
    <row r="99" spans="1:21">
      <c r="A99">
        <v>35593</v>
      </c>
      <c r="B99" t="s">
        <v>370</v>
      </c>
      <c r="C99">
        <v>50593</v>
      </c>
      <c r="D99">
        <v>1</v>
      </c>
      <c r="E99">
        <v>1</v>
      </c>
      <c r="F99">
        <f t="shared" si="3"/>
        <v>30593</v>
      </c>
      <c r="I99" s="3" t="s">
        <v>555</v>
      </c>
      <c r="J99" t="s">
        <v>556</v>
      </c>
      <c r="K99" t="s">
        <v>200</v>
      </c>
      <c r="L99" t="s">
        <v>557</v>
      </c>
      <c r="M99" t="s">
        <v>107</v>
      </c>
    </row>
    <row r="100" spans="1:21">
      <c r="A100">
        <v>37432</v>
      </c>
      <c r="B100" t="s">
        <v>359</v>
      </c>
      <c r="C100">
        <v>52432</v>
      </c>
      <c r="D100">
        <v>1</v>
      </c>
      <c r="E100">
        <v>1</v>
      </c>
      <c r="F100">
        <f t="shared" si="3"/>
        <v>32432</v>
      </c>
      <c r="I100" s="3" t="s">
        <v>259</v>
      </c>
      <c r="J100" t="s">
        <v>558</v>
      </c>
      <c r="K100" t="s">
        <v>259</v>
      </c>
      <c r="L100" t="s">
        <v>559</v>
      </c>
      <c r="M100" t="s">
        <v>560</v>
      </c>
    </row>
    <row r="101" spans="1:21">
      <c r="A101">
        <v>38347</v>
      </c>
      <c r="B101" t="s">
        <v>355</v>
      </c>
      <c r="C101">
        <v>53347</v>
      </c>
      <c r="D101">
        <v>1</v>
      </c>
      <c r="E101">
        <v>1</v>
      </c>
      <c r="F101">
        <f t="shared" si="3"/>
        <v>33347</v>
      </c>
      <c r="I101" s="3" t="s">
        <v>561</v>
      </c>
      <c r="J101" t="s">
        <v>562</v>
      </c>
      <c r="K101" t="s">
        <v>188</v>
      </c>
    </row>
    <row r="102" spans="1:21">
      <c r="A102">
        <v>39076</v>
      </c>
      <c r="B102" t="s">
        <v>343</v>
      </c>
      <c r="C102">
        <v>54076</v>
      </c>
      <c r="D102">
        <v>1</v>
      </c>
      <c r="E102">
        <v>1</v>
      </c>
      <c r="F102">
        <f t="shared" si="3"/>
        <v>34076</v>
      </c>
      <c r="I102" s="3" t="s">
        <v>293</v>
      </c>
      <c r="J102" t="s">
        <v>563</v>
      </c>
      <c r="K102" t="s">
        <v>267</v>
      </c>
      <c r="L102" t="s">
        <v>564</v>
      </c>
      <c r="M102" t="s">
        <v>565</v>
      </c>
    </row>
    <row r="103" spans="1:21">
      <c r="A103">
        <v>40450</v>
      </c>
      <c r="B103" t="s">
        <v>360</v>
      </c>
      <c r="C103">
        <v>55450</v>
      </c>
      <c r="D103">
        <v>1</v>
      </c>
      <c r="E103">
        <v>1</v>
      </c>
      <c r="F103">
        <f t="shared" si="3"/>
        <v>35450</v>
      </c>
      <c r="I103" s="3" t="s">
        <v>133</v>
      </c>
      <c r="J103" t="s">
        <v>566</v>
      </c>
      <c r="K103" t="s">
        <v>567</v>
      </c>
      <c r="L103" t="s">
        <v>568</v>
      </c>
      <c r="M103" t="s">
        <v>569</v>
      </c>
    </row>
  </sheetData>
  <sortState ref="A2:P73">
    <sortCondition ref="G2:G73"/>
    <sortCondition ref="F2:F73"/>
  </sortState>
  <pageMargins left="0.7" right="0.7" top="0.75" bottom="0.75" header="0.3" footer="0.3"/>
  <pageSetup paperSize="0"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L101"/>
  <sheetViews>
    <sheetView topLeftCell="A52" workbookViewId="0">
      <selection activeCell="A58" sqref="A58"/>
    </sheetView>
  </sheetViews>
  <sheetFormatPr baseColWidth="10" defaultColWidth="8.83203125" defaultRowHeight="14" x14ac:dyDescent="0"/>
  <sheetData>
    <row r="1" spans="1:12">
      <c r="A1" t="s">
        <v>0</v>
      </c>
      <c r="B1" t="s">
        <v>570</v>
      </c>
      <c r="C1" t="s">
        <v>600</v>
      </c>
      <c r="D1" t="s">
        <v>601</v>
      </c>
      <c r="E1" t="s">
        <v>649</v>
      </c>
      <c r="F1" t="s">
        <v>650</v>
      </c>
      <c r="I1" t="s">
        <v>1143</v>
      </c>
      <c r="J1" t="s">
        <v>1144</v>
      </c>
      <c r="K1" t="s">
        <v>1145</v>
      </c>
    </row>
    <row r="2" spans="1:12">
      <c r="A2">
        <v>30021</v>
      </c>
      <c r="B2" t="s">
        <v>235</v>
      </c>
      <c r="C2" t="s">
        <v>242</v>
      </c>
      <c r="D2">
        <v>221838</v>
      </c>
      <c r="I2">
        <v>1972</v>
      </c>
      <c r="J2">
        <v>1948</v>
      </c>
      <c r="K2">
        <f>IF(E2&lt;&gt;"",E2-6,IF(I2&lt;&gt;"",I2-2,))</f>
        <v>1970</v>
      </c>
      <c r="L2" t="s">
        <v>1147</v>
      </c>
    </row>
    <row r="3" spans="1:12">
      <c r="A3">
        <v>30037</v>
      </c>
      <c r="B3" t="s">
        <v>104</v>
      </c>
      <c r="C3" t="s">
        <v>602</v>
      </c>
      <c r="D3">
        <v>145600</v>
      </c>
      <c r="E3">
        <v>1977</v>
      </c>
      <c r="F3" t="s">
        <v>104</v>
      </c>
      <c r="I3">
        <v>1969</v>
      </c>
      <c r="J3">
        <v>1946</v>
      </c>
      <c r="K3">
        <f>IF(E3&lt;&gt;"",E3-6,IF(I3&lt;&gt;"",I3-2,))</f>
        <v>1971</v>
      </c>
      <c r="L3" t="s">
        <v>1148</v>
      </c>
    </row>
    <row r="4" spans="1:12">
      <c r="A4">
        <v>30056</v>
      </c>
      <c r="B4" t="s">
        <v>310</v>
      </c>
      <c r="C4" t="s">
        <v>603</v>
      </c>
      <c r="D4">
        <v>-8</v>
      </c>
      <c r="I4">
        <v>1971</v>
      </c>
      <c r="J4">
        <v>1941</v>
      </c>
      <c r="K4">
        <f>IF(E4&lt;&gt;"",E4-6,IF(I4&lt;&gt;"",I4-2,))</f>
        <v>1969</v>
      </c>
      <c r="L4" t="s">
        <v>1149</v>
      </c>
    </row>
    <row r="5" spans="1:12">
      <c r="A5">
        <v>30061</v>
      </c>
      <c r="B5" t="s">
        <v>139</v>
      </c>
      <c r="C5" t="s">
        <v>199</v>
      </c>
      <c r="D5">
        <v>209542</v>
      </c>
      <c r="E5">
        <v>1962</v>
      </c>
      <c r="I5">
        <v>1958</v>
      </c>
      <c r="K5">
        <f>IF(E5&lt;&gt;"",E5-6,IF(I5&lt;&gt;"",I5-2,))</f>
        <v>1956</v>
      </c>
      <c r="L5" t="s">
        <v>1150</v>
      </c>
    </row>
    <row r="6" spans="1:12">
      <c r="A6">
        <v>30100</v>
      </c>
      <c r="B6" t="s">
        <v>66</v>
      </c>
      <c r="C6" t="s">
        <v>139</v>
      </c>
      <c r="D6">
        <v>131520</v>
      </c>
      <c r="E6">
        <v>1993</v>
      </c>
      <c r="I6">
        <v>1986</v>
      </c>
      <c r="J6">
        <v>1964</v>
      </c>
      <c r="K6">
        <f t="shared" ref="K6:K69" si="0">IF(E6&lt;&gt;"",E6-6,IF(I6&lt;&gt;"",I6-2,))</f>
        <v>1987</v>
      </c>
      <c r="L6" t="s">
        <v>1151</v>
      </c>
    </row>
    <row r="7" spans="1:12">
      <c r="A7">
        <v>30192</v>
      </c>
      <c r="B7" t="s">
        <v>337</v>
      </c>
      <c r="K7">
        <f t="shared" si="0"/>
        <v>0</v>
      </c>
    </row>
    <row r="8" spans="1:12">
      <c r="A8">
        <v>30222</v>
      </c>
      <c r="B8" t="s">
        <v>571</v>
      </c>
      <c r="K8">
        <f t="shared" si="0"/>
        <v>0</v>
      </c>
    </row>
    <row r="9" spans="1:12">
      <c r="A9">
        <v>30341</v>
      </c>
      <c r="B9" t="s">
        <v>116</v>
      </c>
      <c r="C9" t="s">
        <v>190</v>
      </c>
      <c r="D9">
        <v>199157</v>
      </c>
      <c r="E9">
        <v>1999</v>
      </c>
      <c r="I9">
        <v>1988</v>
      </c>
      <c r="J9">
        <v>1965</v>
      </c>
      <c r="K9">
        <f t="shared" si="0"/>
        <v>1993</v>
      </c>
      <c r="L9" t="s">
        <v>1152</v>
      </c>
    </row>
    <row r="10" spans="1:12">
      <c r="A10">
        <v>30364</v>
      </c>
      <c r="B10" t="s">
        <v>572</v>
      </c>
      <c r="C10" t="s">
        <v>318</v>
      </c>
      <c r="D10">
        <v>234076</v>
      </c>
      <c r="E10">
        <v>2003</v>
      </c>
      <c r="F10" t="s">
        <v>651</v>
      </c>
      <c r="I10">
        <v>1997</v>
      </c>
      <c r="J10">
        <v>1975</v>
      </c>
      <c r="K10">
        <f t="shared" si="0"/>
        <v>1997</v>
      </c>
      <c r="L10" t="s">
        <v>1153</v>
      </c>
    </row>
    <row r="11" spans="1:12">
      <c r="A11">
        <v>30422</v>
      </c>
      <c r="B11" t="s">
        <v>164</v>
      </c>
      <c r="C11" t="s">
        <v>255</v>
      </c>
      <c r="D11">
        <v>100751</v>
      </c>
      <c r="E11">
        <v>2002</v>
      </c>
      <c r="I11">
        <v>1989</v>
      </c>
      <c r="J11">
        <v>1956</v>
      </c>
      <c r="K11">
        <f t="shared" si="0"/>
        <v>1996</v>
      </c>
      <c r="L11" t="s">
        <v>1154</v>
      </c>
    </row>
    <row r="12" spans="1:12">
      <c r="A12">
        <v>30442</v>
      </c>
      <c r="B12" t="s">
        <v>242</v>
      </c>
      <c r="C12" t="s">
        <v>604</v>
      </c>
      <c r="D12">
        <v>-9</v>
      </c>
      <c r="E12">
        <v>1964</v>
      </c>
      <c r="I12">
        <v>1956</v>
      </c>
      <c r="J12">
        <v>1936</v>
      </c>
      <c r="K12">
        <f t="shared" si="0"/>
        <v>1958</v>
      </c>
      <c r="L12" t="s">
        <v>1155</v>
      </c>
    </row>
    <row r="13" spans="1:12">
      <c r="A13">
        <v>30651</v>
      </c>
      <c r="B13" t="s">
        <v>158</v>
      </c>
      <c r="C13" t="s">
        <v>605</v>
      </c>
      <c r="D13">
        <v>-9</v>
      </c>
      <c r="F13" t="s">
        <v>652</v>
      </c>
      <c r="K13">
        <f t="shared" si="0"/>
        <v>0</v>
      </c>
    </row>
    <row r="14" spans="1:12">
      <c r="A14">
        <v>30701</v>
      </c>
      <c r="B14" t="s">
        <v>235</v>
      </c>
      <c r="I14">
        <v>1986</v>
      </c>
      <c r="K14">
        <f t="shared" si="0"/>
        <v>1984</v>
      </c>
      <c r="L14" t="s">
        <v>1156</v>
      </c>
    </row>
    <row r="15" spans="1:12">
      <c r="A15">
        <v>30758</v>
      </c>
      <c r="B15" t="s">
        <v>139</v>
      </c>
      <c r="C15" t="s">
        <v>606</v>
      </c>
      <c r="D15">
        <v>110635</v>
      </c>
      <c r="E15">
        <v>1980</v>
      </c>
      <c r="I15">
        <v>1974</v>
      </c>
      <c r="J15">
        <v>1952</v>
      </c>
      <c r="K15">
        <f t="shared" si="0"/>
        <v>1974</v>
      </c>
      <c r="L15" t="s">
        <v>1157</v>
      </c>
    </row>
    <row r="16" spans="1:12">
      <c r="A16">
        <v>30794</v>
      </c>
      <c r="B16" t="s">
        <v>122</v>
      </c>
      <c r="C16" t="s">
        <v>38</v>
      </c>
      <c r="D16">
        <v>217156</v>
      </c>
      <c r="E16">
        <v>1999</v>
      </c>
      <c r="I16">
        <v>1987</v>
      </c>
      <c r="J16">
        <v>1963</v>
      </c>
      <c r="K16">
        <f t="shared" si="0"/>
        <v>1993</v>
      </c>
      <c r="L16" t="s">
        <v>1152</v>
      </c>
    </row>
    <row r="17" spans="1:12">
      <c r="A17">
        <v>30932</v>
      </c>
      <c r="B17" t="s">
        <v>571</v>
      </c>
      <c r="C17" t="s">
        <v>607</v>
      </c>
      <c r="D17">
        <v>163286</v>
      </c>
      <c r="K17">
        <f t="shared" si="0"/>
        <v>0</v>
      </c>
    </row>
    <row r="18" spans="1:12">
      <c r="A18">
        <v>30951</v>
      </c>
      <c r="B18" t="s">
        <v>573</v>
      </c>
      <c r="C18" t="s">
        <v>429</v>
      </c>
      <c r="D18">
        <v>201885</v>
      </c>
      <c r="E18">
        <v>1986</v>
      </c>
      <c r="F18" t="s">
        <v>653</v>
      </c>
      <c r="I18">
        <v>1971</v>
      </c>
      <c r="J18">
        <v>1949</v>
      </c>
      <c r="K18">
        <f t="shared" si="0"/>
        <v>1980</v>
      </c>
      <c r="L18" t="s">
        <v>1158</v>
      </c>
    </row>
    <row r="19" spans="1:12">
      <c r="A19">
        <v>30953</v>
      </c>
      <c r="B19" t="s">
        <v>573</v>
      </c>
      <c r="C19" t="s">
        <v>608</v>
      </c>
      <c r="D19">
        <v>179159</v>
      </c>
      <c r="E19">
        <v>1997</v>
      </c>
      <c r="I19">
        <v>1990</v>
      </c>
      <c r="J19">
        <v>1966</v>
      </c>
      <c r="K19">
        <f t="shared" si="0"/>
        <v>1991</v>
      </c>
      <c r="L19" t="s">
        <v>1159</v>
      </c>
    </row>
    <row r="20" spans="1:12">
      <c r="A20">
        <v>30972</v>
      </c>
      <c r="B20" t="s">
        <v>574</v>
      </c>
      <c r="C20" t="s">
        <v>609</v>
      </c>
      <c r="D20">
        <v>-8</v>
      </c>
      <c r="I20">
        <v>1990</v>
      </c>
      <c r="J20">
        <v>1963</v>
      </c>
      <c r="K20">
        <f t="shared" si="0"/>
        <v>1988</v>
      </c>
      <c r="L20" t="s">
        <v>1160</v>
      </c>
    </row>
    <row r="21" spans="1:12">
      <c r="A21">
        <v>31078</v>
      </c>
      <c r="B21" t="s">
        <v>242</v>
      </c>
      <c r="C21" t="s">
        <v>610</v>
      </c>
      <c r="D21">
        <v>163286</v>
      </c>
      <c r="K21">
        <f t="shared" si="0"/>
        <v>0</v>
      </c>
    </row>
    <row r="22" spans="1:12">
      <c r="A22">
        <v>31202</v>
      </c>
      <c r="B22" t="s">
        <v>219</v>
      </c>
      <c r="C22" t="s">
        <v>610</v>
      </c>
      <c r="D22">
        <v>163286</v>
      </c>
      <c r="E22">
        <v>1990</v>
      </c>
      <c r="I22">
        <v>1981</v>
      </c>
      <c r="J22">
        <v>1959</v>
      </c>
      <c r="K22">
        <f t="shared" si="0"/>
        <v>1984</v>
      </c>
      <c r="L22" t="s">
        <v>1156</v>
      </c>
    </row>
    <row r="23" spans="1:12">
      <c r="A23">
        <v>31234</v>
      </c>
      <c r="B23" t="s">
        <v>72</v>
      </c>
      <c r="C23" t="s">
        <v>328</v>
      </c>
      <c r="D23">
        <v>236939</v>
      </c>
      <c r="E23">
        <v>1987</v>
      </c>
      <c r="I23">
        <v>1978</v>
      </c>
      <c r="J23">
        <v>1947</v>
      </c>
      <c r="K23">
        <f t="shared" si="0"/>
        <v>1981</v>
      </c>
      <c r="L23" t="s">
        <v>1161</v>
      </c>
    </row>
    <row r="24" spans="1:12">
      <c r="A24">
        <v>31272</v>
      </c>
      <c r="B24" t="s">
        <v>39</v>
      </c>
      <c r="C24" t="s">
        <v>392</v>
      </c>
      <c r="D24">
        <v>110635</v>
      </c>
      <c r="E24">
        <v>1996</v>
      </c>
      <c r="I24">
        <v>1991</v>
      </c>
      <c r="J24">
        <v>1968</v>
      </c>
      <c r="K24">
        <f t="shared" si="0"/>
        <v>1990</v>
      </c>
      <c r="L24" t="s">
        <v>1162</v>
      </c>
    </row>
    <row r="25" spans="1:12">
      <c r="A25">
        <v>31481</v>
      </c>
      <c r="B25" t="s">
        <v>329</v>
      </c>
      <c r="C25" t="s">
        <v>269</v>
      </c>
      <c r="D25">
        <v>144050</v>
      </c>
      <c r="E25">
        <v>1999</v>
      </c>
      <c r="I25">
        <v>1991</v>
      </c>
      <c r="J25">
        <v>1969</v>
      </c>
      <c r="K25">
        <f t="shared" si="0"/>
        <v>1993</v>
      </c>
      <c r="L25" t="s">
        <v>1152</v>
      </c>
    </row>
    <row r="26" spans="1:12">
      <c r="A26">
        <v>31495</v>
      </c>
      <c r="B26" t="s">
        <v>575</v>
      </c>
      <c r="I26">
        <v>1970</v>
      </c>
      <c r="J26">
        <v>1948</v>
      </c>
      <c r="K26">
        <f t="shared" si="0"/>
        <v>1968</v>
      </c>
      <c r="L26" t="s">
        <v>1163</v>
      </c>
    </row>
    <row r="27" spans="1:12">
      <c r="A27">
        <v>32009</v>
      </c>
      <c r="B27" t="s">
        <v>183</v>
      </c>
      <c r="C27" t="s">
        <v>611</v>
      </c>
      <c r="D27">
        <v>157289</v>
      </c>
      <c r="E27">
        <v>1974</v>
      </c>
      <c r="F27" t="s">
        <v>654</v>
      </c>
      <c r="I27">
        <v>1970</v>
      </c>
      <c r="J27">
        <v>1945</v>
      </c>
      <c r="K27">
        <f t="shared" si="0"/>
        <v>1968</v>
      </c>
      <c r="L27" t="s">
        <v>1163</v>
      </c>
    </row>
    <row r="28" spans="1:12">
      <c r="A28">
        <v>32444</v>
      </c>
      <c r="B28" t="s">
        <v>576</v>
      </c>
      <c r="C28" t="s">
        <v>431</v>
      </c>
      <c r="D28">
        <v>163204</v>
      </c>
      <c r="E28">
        <v>2008</v>
      </c>
      <c r="I28">
        <v>2002</v>
      </c>
      <c r="J28">
        <v>1980</v>
      </c>
      <c r="K28">
        <f t="shared" si="0"/>
        <v>2002</v>
      </c>
      <c r="L28" t="s">
        <v>1164</v>
      </c>
    </row>
    <row r="29" spans="1:12">
      <c r="A29">
        <v>32896</v>
      </c>
      <c r="B29" t="s">
        <v>217</v>
      </c>
      <c r="C29" t="s">
        <v>477</v>
      </c>
      <c r="D29">
        <v>130794</v>
      </c>
      <c r="E29">
        <v>1965</v>
      </c>
      <c r="I29">
        <v>1961</v>
      </c>
      <c r="J29">
        <v>1939</v>
      </c>
      <c r="K29">
        <f t="shared" si="0"/>
        <v>1959</v>
      </c>
      <c r="L29" t="s">
        <v>1165</v>
      </c>
    </row>
    <row r="30" spans="1:12">
      <c r="A30">
        <v>32937</v>
      </c>
      <c r="B30" t="s">
        <v>275</v>
      </c>
      <c r="C30" t="s">
        <v>497</v>
      </c>
      <c r="D30">
        <v>-9</v>
      </c>
      <c r="E30">
        <v>1963</v>
      </c>
      <c r="I30">
        <v>1955</v>
      </c>
      <c r="J30">
        <v>1933</v>
      </c>
      <c r="K30">
        <f t="shared" si="0"/>
        <v>1957</v>
      </c>
      <c r="L30" t="s">
        <v>1166</v>
      </c>
    </row>
    <row r="31" spans="1:12">
      <c r="A31">
        <v>32986</v>
      </c>
      <c r="B31" t="s">
        <v>322</v>
      </c>
      <c r="C31" t="s">
        <v>508</v>
      </c>
      <c r="D31">
        <v>190150</v>
      </c>
      <c r="E31">
        <v>1998</v>
      </c>
      <c r="I31">
        <v>1992</v>
      </c>
      <c r="J31">
        <v>1969</v>
      </c>
      <c r="K31">
        <f t="shared" si="0"/>
        <v>1992</v>
      </c>
      <c r="L31" t="s">
        <v>1167</v>
      </c>
    </row>
    <row r="32" spans="1:12">
      <c r="A32">
        <v>33130</v>
      </c>
      <c r="B32" t="s">
        <v>113</v>
      </c>
      <c r="C32" t="s">
        <v>612</v>
      </c>
      <c r="D32">
        <v>110635</v>
      </c>
      <c r="E32">
        <v>1965</v>
      </c>
      <c r="F32" t="s">
        <v>340</v>
      </c>
      <c r="I32">
        <v>1960</v>
      </c>
      <c r="J32">
        <v>1937</v>
      </c>
      <c r="K32">
        <f t="shared" si="0"/>
        <v>1959</v>
      </c>
      <c r="L32" t="s">
        <v>1165</v>
      </c>
    </row>
    <row r="33" spans="1:12">
      <c r="A33">
        <v>33177</v>
      </c>
      <c r="B33" t="s">
        <v>577</v>
      </c>
      <c r="E33">
        <v>2001</v>
      </c>
      <c r="I33">
        <v>1993</v>
      </c>
      <c r="K33">
        <f t="shared" si="0"/>
        <v>1995</v>
      </c>
      <c r="L33" t="s">
        <v>1168</v>
      </c>
    </row>
    <row r="34" spans="1:12">
      <c r="A34">
        <v>33422</v>
      </c>
      <c r="B34" t="s">
        <v>578</v>
      </c>
      <c r="C34" t="s">
        <v>381</v>
      </c>
      <c r="D34">
        <v>-9</v>
      </c>
      <c r="E34">
        <v>1995</v>
      </c>
      <c r="I34">
        <v>1990</v>
      </c>
      <c r="J34">
        <v>1967</v>
      </c>
      <c r="K34">
        <f t="shared" si="0"/>
        <v>1989</v>
      </c>
      <c r="L34" t="s">
        <v>1169</v>
      </c>
    </row>
    <row r="35" spans="1:12">
      <c r="A35">
        <v>33436</v>
      </c>
      <c r="B35" t="s">
        <v>579</v>
      </c>
      <c r="C35" t="s">
        <v>613</v>
      </c>
      <c r="D35">
        <v>186380</v>
      </c>
      <c r="E35">
        <v>1965</v>
      </c>
      <c r="F35" t="s">
        <v>655</v>
      </c>
      <c r="I35">
        <v>1956</v>
      </c>
      <c r="J35">
        <v>1937</v>
      </c>
      <c r="K35">
        <f t="shared" si="0"/>
        <v>1959</v>
      </c>
      <c r="L35" t="s">
        <v>1165</v>
      </c>
    </row>
    <row r="36" spans="1:12">
      <c r="A36">
        <v>33824</v>
      </c>
      <c r="B36" t="s">
        <v>580</v>
      </c>
      <c r="C36" t="s">
        <v>614</v>
      </c>
      <c r="D36">
        <v>110680</v>
      </c>
      <c r="E36">
        <v>1990</v>
      </c>
      <c r="I36">
        <v>1984</v>
      </c>
      <c r="J36">
        <v>1961</v>
      </c>
      <c r="K36">
        <f t="shared" si="0"/>
        <v>1984</v>
      </c>
      <c r="L36" t="s">
        <v>1156</v>
      </c>
    </row>
    <row r="37" spans="1:12">
      <c r="A37">
        <v>34545</v>
      </c>
      <c r="B37" t="s">
        <v>209</v>
      </c>
      <c r="C37" t="s">
        <v>615</v>
      </c>
      <c r="D37">
        <v>179867</v>
      </c>
      <c r="E37">
        <v>1985</v>
      </c>
      <c r="I37">
        <v>1976</v>
      </c>
      <c r="J37">
        <v>1948</v>
      </c>
      <c r="K37">
        <f t="shared" si="0"/>
        <v>1979</v>
      </c>
      <c r="L37" t="s">
        <v>1170</v>
      </c>
    </row>
    <row r="38" spans="1:12">
      <c r="A38">
        <v>34938</v>
      </c>
      <c r="B38" t="s">
        <v>581</v>
      </c>
      <c r="C38" t="s">
        <v>292</v>
      </c>
      <c r="D38">
        <v>220862</v>
      </c>
      <c r="E38">
        <v>2000</v>
      </c>
      <c r="I38">
        <v>1983</v>
      </c>
      <c r="J38">
        <v>1961</v>
      </c>
      <c r="K38">
        <f t="shared" si="0"/>
        <v>1994</v>
      </c>
      <c r="L38" t="s">
        <v>1171</v>
      </c>
    </row>
    <row r="39" spans="1:12">
      <c r="A39">
        <v>35307</v>
      </c>
      <c r="B39" t="s">
        <v>215</v>
      </c>
      <c r="C39" t="s">
        <v>458</v>
      </c>
      <c r="D39">
        <v>110705</v>
      </c>
      <c r="E39">
        <v>1993</v>
      </c>
      <c r="F39" t="s">
        <v>656</v>
      </c>
      <c r="I39">
        <v>1978</v>
      </c>
      <c r="J39">
        <v>1956</v>
      </c>
      <c r="K39">
        <f t="shared" si="0"/>
        <v>1987</v>
      </c>
      <c r="L39" t="s">
        <v>1151</v>
      </c>
    </row>
    <row r="40" spans="1:12">
      <c r="A40">
        <v>35436</v>
      </c>
      <c r="B40" t="s">
        <v>144</v>
      </c>
      <c r="C40" t="s">
        <v>616</v>
      </c>
      <c r="D40">
        <v>240444</v>
      </c>
      <c r="E40">
        <v>1991</v>
      </c>
      <c r="I40">
        <v>1979</v>
      </c>
      <c r="J40">
        <v>1957</v>
      </c>
      <c r="K40">
        <f t="shared" si="0"/>
        <v>1985</v>
      </c>
      <c r="L40" t="s">
        <v>1172</v>
      </c>
    </row>
    <row r="41" spans="1:12">
      <c r="A41">
        <v>35483</v>
      </c>
      <c r="B41" t="s">
        <v>148</v>
      </c>
      <c r="C41" t="s">
        <v>387</v>
      </c>
      <c r="D41">
        <v>-9</v>
      </c>
      <c r="E41">
        <v>1996</v>
      </c>
      <c r="I41">
        <v>1984</v>
      </c>
      <c r="K41">
        <f t="shared" si="0"/>
        <v>1990</v>
      </c>
      <c r="L41" t="s">
        <v>1162</v>
      </c>
    </row>
    <row r="42" spans="1:12">
      <c r="A42">
        <v>35505</v>
      </c>
      <c r="B42" t="s">
        <v>150</v>
      </c>
      <c r="C42" t="s">
        <v>617</v>
      </c>
      <c r="D42">
        <v>216339</v>
      </c>
      <c r="E42">
        <v>1978</v>
      </c>
      <c r="I42">
        <v>1974</v>
      </c>
      <c r="J42">
        <v>1952</v>
      </c>
      <c r="K42">
        <f t="shared" si="0"/>
        <v>1972</v>
      </c>
      <c r="L42" t="s">
        <v>1173</v>
      </c>
    </row>
    <row r="43" spans="1:12">
      <c r="A43">
        <v>35698</v>
      </c>
      <c r="B43" t="s">
        <v>335</v>
      </c>
      <c r="C43" t="s">
        <v>618</v>
      </c>
      <c r="D43">
        <v>228778</v>
      </c>
      <c r="E43">
        <v>1979</v>
      </c>
      <c r="I43">
        <v>1974</v>
      </c>
      <c r="J43">
        <v>1952</v>
      </c>
      <c r="K43">
        <f t="shared" si="0"/>
        <v>1973</v>
      </c>
      <c r="L43" t="s">
        <v>1174</v>
      </c>
    </row>
    <row r="44" spans="1:12">
      <c r="A44">
        <v>35783</v>
      </c>
      <c r="B44" t="s">
        <v>194</v>
      </c>
      <c r="C44" t="s">
        <v>619</v>
      </c>
      <c r="D44">
        <v>-9</v>
      </c>
      <c r="E44">
        <v>1998</v>
      </c>
      <c r="F44" t="s">
        <v>372</v>
      </c>
      <c r="K44">
        <f t="shared" si="0"/>
        <v>1992</v>
      </c>
      <c r="L44" t="s">
        <v>1167</v>
      </c>
    </row>
    <row r="45" spans="1:12">
      <c r="A45">
        <v>36058</v>
      </c>
      <c r="B45" t="s">
        <v>512</v>
      </c>
      <c r="C45" t="s">
        <v>620</v>
      </c>
      <c r="D45">
        <v>153603</v>
      </c>
      <c r="E45">
        <v>1964</v>
      </c>
      <c r="I45">
        <v>1957</v>
      </c>
      <c r="J45">
        <v>1933</v>
      </c>
      <c r="K45">
        <f t="shared" si="0"/>
        <v>1958</v>
      </c>
      <c r="L45" t="s">
        <v>1155</v>
      </c>
    </row>
    <row r="46" spans="1:12">
      <c r="A46">
        <v>36101</v>
      </c>
      <c r="B46" t="s">
        <v>108</v>
      </c>
      <c r="C46" t="s">
        <v>513</v>
      </c>
      <c r="D46">
        <v>-9</v>
      </c>
      <c r="E46">
        <v>1991</v>
      </c>
      <c r="F46" t="s">
        <v>108</v>
      </c>
      <c r="I46">
        <v>1984</v>
      </c>
      <c r="J46">
        <v>1963</v>
      </c>
      <c r="K46">
        <f t="shared" si="0"/>
        <v>1985</v>
      </c>
      <c r="L46" t="s">
        <v>1172</v>
      </c>
    </row>
    <row r="47" spans="1:12">
      <c r="A47">
        <v>36130</v>
      </c>
      <c r="B47" t="s">
        <v>326</v>
      </c>
      <c r="C47" t="s">
        <v>621</v>
      </c>
      <c r="D47">
        <v>207500</v>
      </c>
      <c r="E47">
        <v>1963</v>
      </c>
      <c r="I47">
        <v>1958</v>
      </c>
      <c r="J47">
        <v>1936</v>
      </c>
      <c r="K47">
        <f t="shared" si="0"/>
        <v>1957</v>
      </c>
      <c r="L47" t="s">
        <v>1166</v>
      </c>
    </row>
    <row r="48" spans="1:12">
      <c r="A48">
        <v>36238</v>
      </c>
      <c r="B48" t="s">
        <v>28</v>
      </c>
      <c r="C48" t="s">
        <v>622</v>
      </c>
      <c r="D48">
        <v>-8</v>
      </c>
      <c r="E48">
        <v>2002</v>
      </c>
      <c r="F48" t="s">
        <v>657</v>
      </c>
      <c r="I48">
        <v>1995</v>
      </c>
      <c r="J48">
        <v>1973</v>
      </c>
      <c r="K48">
        <f t="shared" si="0"/>
        <v>1996</v>
      </c>
      <c r="L48" t="s">
        <v>1154</v>
      </c>
    </row>
    <row r="49" spans="1:12">
      <c r="A49">
        <v>36302</v>
      </c>
      <c r="B49" t="s">
        <v>315</v>
      </c>
      <c r="C49" t="s">
        <v>200</v>
      </c>
      <c r="D49">
        <v>186131</v>
      </c>
      <c r="E49">
        <v>1985</v>
      </c>
      <c r="I49">
        <v>1981</v>
      </c>
      <c r="J49">
        <v>1958</v>
      </c>
      <c r="K49">
        <f t="shared" si="0"/>
        <v>1979</v>
      </c>
      <c r="L49" t="s">
        <v>1170</v>
      </c>
    </row>
    <row r="50" spans="1:12">
      <c r="A50">
        <v>36793</v>
      </c>
      <c r="B50" t="s">
        <v>123</v>
      </c>
      <c r="C50" t="s">
        <v>623</v>
      </c>
      <c r="D50">
        <v>-9</v>
      </c>
      <c r="E50">
        <v>1962</v>
      </c>
      <c r="J50">
        <v>1933</v>
      </c>
      <c r="K50">
        <f t="shared" si="0"/>
        <v>1956</v>
      </c>
      <c r="L50" t="s">
        <v>1150</v>
      </c>
    </row>
    <row r="51" spans="1:12">
      <c r="A51">
        <v>37054</v>
      </c>
      <c r="B51" t="s">
        <v>582</v>
      </c>
      <c r="C51" t="s">
        <v>465</v>
      </c>
      <c r="D51">
        <v>-9</v>
      </c>
      <c r="E51">
        <v>1995</v>
      </c>
      <c r="I51">
        <v>1990</v>
      </c>
      <c r="J51">
        <v>1968</v>
      </c>
      <c r="K51">
        <f t="shared" si="0"/>
        <v>1989</v>
      </c>
      <c r="L51" t="s">
        <v>1169</v>
      </c>
    </row>
    <row r="52" spans="1:12">
      <c r="A52">
        <v>37314</v>
      </c>
      <c r="B52" t="s">
        <v>123</v>
      </c>
      <c r="C52" t="s">
        <v>624</v>
      </c>
      <c r="D52">
        <v>-9</v>
      </c>
      <c r="E52">
        <v>1960</v>
      </c>
      <c r="F52" t="s">
        <v>123</v>
      </c>
      <c r="I52">
        <v>1953</v>
      </c>
      <c r="J52">
        <v>1932</v>
      </c>
      <c r="K52">
        <f t="shared" si="0"/>
        <v>1954</v>
      </c>
      <c r="L52" t="s">
        <v>1175</v>
      </c>
    </row>
    <row r="53" spans="1:12">
      <c r="A53">
        <v>37347</v>
      </c>
      <c r="B53" t="s">
        <v>148</v>
      </c>
      <c r="C53" t="s">
        <v>389</v>
      </c>
      <c r="D53">
        <v>236948</v>
      </c>
      <c r="E53">
        <v>1988</v>
      </c>
      <c r="I53">
        <v>1974</v>
      </c>
      <c r="J53">
        <v>1952</v>
      </c>
      <c r="K53">
        <f t="shared" si="0"/>
        <v>1982</v>
      </c>
      <c r="L53" t="s">
        <v>1176</v>
      </c>
    </row>
    <row r="54" spans="1:12">
      <c r="A54">
        <v>37577</v>
      </c>
      <c r="B54" t="s">
        <v>186</v>
      </c>
      <c r="C54" t="s">
        <v>320</v>
      </c>
      <c r="D54">
        <v>221999</v>
      </c>
      <c r="E54">
        <v>1992</v>
      </c>
      <c r="I54">
        <v>1984</v>
      </c>
      <c r="J54">
        <v>1962</v>
      </c>
      <c r="K54">
        <f t="shared" si="0"/>
        <v>1986</v>
      </c>
      <c r="L54" t="s">
        <v>1177</v>
      </c>
    </row>
    <row r="55" spans="1:12">
      <c r="A55">
        <v>37623</v>
      </c>
      <c r="B55" t="s">
        <v>108</v>
      </c>
      <c r="C55" t="s">
        <v>318</v>
      </c>
      <c r="D55">
        <v>234076</v>
      </c>
      <c r="E55">
        <v>1996</v>
      </c>
      <c r="I55">
        <v>1989</v>
      </c>
      <c r="J55">
        <v>1966</v>
      </c>
      <c r="K55">
        <f t="shared" si="0"/>
        <v>1990</v>
      </c>
      <c r="L55" t="s">
        <v>1162</v>
      </c>
    </row>
    <row r="56" spans="1:12">
      <c r="A56">
        <v>38326</v>
      </c>
      <c r="B56" t="s">
        <v>583</v>
      </c>
      <c r="C56" t="s">
        <v>138</v>
      </c>
      <c r="D56">
        <v>166027</v>
      </c>
      <c r="E56">
        <v>1965</v>
      </c>
      <c r="I56">
        <v>1959</v>
      </c>
      <c r="J56">
        <v>1938</v>
      </c>
      <c r="K56">
        <f t="shared" si="0"/>
        <v>1959</v>
      </c>
      <c r="L56" t="s">
        <v>1165</v>
      </c>
    </row>
    <row r="57" spans="1:12">
      <c r="A57">
        <v>38368</v>
      </c>
      <c r="B57" t="s">
        <v>64</v>
      </c>
      <c r="C57" t="s">
        <v>294</v>
      </c>
      <c r="D57">
        <v>178396</v>
      </c>
      <c r="E57">
        <v>2009</v>
      </c>
      <c r="F57" t="s">
        <v>64</v>
      </c>
      <c r="I57">
        <v>1994</v>
      </c>
      <c r="J57">
        <v>1971</v>
      </c>
      <c r="K57">
        <f t="shared" si="0"/>
        <v>2003</v>
      </c>
      <c r="L57" t="s">
        <v>1178</v>
      </c>
    </row>
    <row r="58" spans="1:12">
      <c r="A58">
        <v>38580</v>
      </c>
      <c r="B58" t="s">
        <v>584</v>
      </c>
      <c r="C58" t="s">
        <v>625</v>
      </c>
      <c r="D58">
        <v>-9</v>
      </c>
      <c r="E58">
        <v>1997</v>
      </c>
      <c r="F58" t="s">
        <v>658</v>
      </c>
      <c r="I58">
        <v>1991</v>
      </c>
      <c r="J58">
        <v>1970</v>
      </c>
      <c r="K58">
        <f t="shared" si="0"/>
        <v>1991</v>
      </c>
      <c r="L58" t="s">
        <v>1159</v>
      </c>
    </row>
    <row r="59" spans="1:12">
      <c r="A59">
        <v>38653</v>
      </c>
      <c r="B59" t="s">
        <v>585</v>
      </c>
      <c r="C59" t="s">
        <v>200</v>
      </c>
      <c r="D59">
        <v>186131</v>
      </c>
      <c r="E59">
        <v>1962</v>
      </c>
      <c r="F59" t="s">
        <v>659</v>
      </c>
      <c r="I59">
        <v>1959</v>
      </c>
      <c r="J59">
        <v>1938</v>
      </c>
      <c r="K59">
        <f t="shared" si="0"/>
        <v>1956</v>
      </c>
      <c r="L59" t="s">
        <v>1150</v>
      </c>
    </row>
    <row r="60" spans="1:12">
      <c r="A60">
        <v>38827</v>
      </c>
      <c r="B60" t="s">
        <v>326</v>
      </c>
      <c r="C60" t="s">
        <v>626</v>
      </c>
      <c r="D60">
        <v>110680</v>
      </c>
      <c r="E60">
        <v>1991</v>
      </c>
      <c r="F60" t="s">
        <v>660</v>
      </c>
      <c r="I60">
        <v>1985</v>
      </c>
      <c r="J60">
        <v>1960</v>
      </c>
      <c r="K60">
        <f t="shared" si="0"/>
        <v>1985</v>
      </c>
      <c r="L60" t="s">
        <v>1172</v>
      </c>
    </row>
    <row r="61" spans="1:12">
      <c r="A61">
        <v>38877</v>
      </c>
      <c r="B61" t="s">
        <v>582</v>
      </c>
      <c r="C61" t="s">
        <v>627</v>
      </c>
      <c r="D61">
        <v>240444</v>
      </c>
      <c r="E61">
        <v>1993</v>
      </c>
      <c r="F61" t="s">
        <v>661</v>
      </c>
      <c r="I61">
        <v>1974</v>
      </c>
      <c r="J61">
        <v>1952</v>
      </c>
      <c r="K61">
        <f t="shared" si="0"/>
        <v>1987</v>
      </c>
      <c r="L61" t="s">
        <v>1151</v>
      </c>
    </row>
    <row r="62" spans="1:12">
      <c r="A62">
        <v>38915</v>
      </c>
      <c r="B62" t="s">
        <v>28</v>
      </c>
      <c r="C62" t="s">
        <v>391</v>
      </c>
      <c r="D62">
        <v>-9</v>
      </c>
      <c r="E62">
        <v>1998</v>
      </c>
      <c r="K62">
        <f t="shared" si="0"/>
        <v>1992</v>
      </c>
      <c r="L62" t="s">
        <v>1167</v>
      </c>
    </row>
    <row r="63" spans="1:12">
      <c r="A63">
        <v>39256</v>
      </c>
      <c r="B63" t="s">
        <v>253</v>
      </c>
      <c r="C63" t="s">
        <v>163</v>
      </c>
      <c r="D63">
        <v>155399</v>
      </c>
      <c r="E63">
        <v>2009</v>
      </c>
      <c r="I63">
        <v>2002</v>
      </c>
      <c r="J63">
        <v>1979</v>
      </c>
      <c r="K63">
        <f t="shared" si="0"/>
        <v>2003</v>
      </c>
      <c r="L63" t="s">
        <v>1178</v>
      </c>
    </row>
    <row r="64" spans="1:12">
      <c r="A64">
        <v>39342</v>
      </c>
      <c r="B64" t="s">
        <v>586</v>
      </c>
      <c r="C64" t="s">
        <v>628</v>
      </c>
      <c r="D64">
        <v>-9</v>
      </c>
      <c r="E64">
        <v>1987</v>
      </c>
      <c r="I64">
        <v>1981</v>
      </c>
      <c r="J64">
        <v>1955</v>
      </c>
      <c r="K64">
        <f t="shared" si="0"/>
        <v>1981</v>
      </c>
      <c r="L64" t="s">
        <v>1161</v>
      </c>
    </row>
    <row r="65" spans="1:12">
      <c r="A65">
        <v>39369</v>
      </c>
      <c r="B65" t="s">
        <v>303</v>
      </c>
      <c r="C65" t="s">
        <v>629</v>
      </c>
      <c r="D65">
        <v>198419</v>
      </c>
      <c r="E65">
        <v>1963</v>
      </c>
      <c r="I65">
        <v>1957</v>
      </c>
      <c r="J65">
        <v>1934</v>
      </c>
      <c r="K65">
        <f t="shared" si="0"/>
        <v>1957</v>
      </c>
      <c r="L65" t="s">
        <v>1166</v>
      </c>
    </row>
    <row r="66" spans="1:12">
      <c r="A66">
        <v>39389</v>
      </c>
      <c r="B66" t="s">
        <v>136</v>
      </c>
      <c r="C66" t="s">
        <v>630</v>
      </c>
      <c r="D66">
        <v>162928</v>
      </c>
      <c r="E66">
        <v>1996</v>
      </c>
      <c r="I66">
        <v>1990</v>
      </c>
      <c r="J66">
        <v>1967</v>
      </c>
      <c r="K66">
        <f t="shared" si="0"/>
        <v>1990</v>
      </c>
      <c r="L66" t="s">
        <v>1162</v>
      </c>
    </row>
    <row r="67" spans="1:12">
      <c r="A67">
        <v>40527</v>
      </c>
      <c r="B67" t="s">
        <v>531</v>
      </c>
      <c r="C67" t="s">
        <v>631</v>
      </c>
      <c r="D67">
        <v>-9</v>
      </c>
      <c r="E67">
        <v>1999</v>
      </c>
      <c r="F67" t="s">
        <v>662</v>
      </c>
      <c r="I67">
        <v>1988</v>
      </c>
      <c r="J67">
        <v>1966</v>
      </c>
      <c r="K67">
        <f t="shared" si="0"/>
        <v>1993</v>
      </c>
      <c r="L67" t="s">
        <v>1152</v>
      </c>
    </row>
    <row r="68" spans="1:12">
      <c r="A68">
        <v>41196</v>
      </c>
      <c r="B68" t="s">
        <v>587</v>
      </c>
      <c r="C68" t="s">
        <v>449</v>
      </c>
      <c r="D68">
        <v>170976</v>
      </c>
      <c r="E68">
        <v>2003</v>
      </c>
      <c r="I68">
        <v>1993</v>
      </c>
      <c r="J68">
        <v>1972</v>
      </c>
      <c r="K68">
        <f t="shared" si="0"/>
        <v>1997</v>
      </c>
      <c r="L68" t="s">
        <v>1153</v>
      </c>
    </row>
    <row r="69" spans="1:12">
      <c r="A69">
        <v>41630</v>
      </c>
      <c r="B69" t="s">
        <v>277</v>
      </c>
      <c r="C69" t="s">
        <v>541</v>
      </c>
      <c r="D69">
        <v>-9</v>
      </c>
      <c r="E69">
        <v>1979</v>
      </c>
      <c r="I69">
        <v>1976</v>
      </c>
      <c r="J69">
        <v>1954</v>
      </c>
      <c r="K69">
        <f t="shared" si="0"/>
        <v>1973</v>
      </c>
      <c r="L69" t="s">
        <v>1174</v>
      </c>
    </row>
    <row r="70" spans="1:12">
      <c r="A70">
        <v>42013</v>
      </c>
      <c r="B70" t="s">
        <v>588</v>
      </c>
      <c r="C70" t="s">
        <v>632</v>
      </c>
      <c r="D70">
        <v>243744</v>
      </c>
      <c r="E70">
        <v>1965</v>
      </c>
      <c r="I70">
        <v>1961</v>
      </c>
      <c r="J70">
        <v>1939</v>
      </c>
      <c r="K70">
        <f t="shared" ref="K70:K101" si="1">IF(E70&lt;&gt;"",E70-6,IF(I70&lt;&gt;"",I70-2,))</f>
        <v>1959</v>
      </c>
      <c r="L70" t="s">
        <v>1165</v>
      </c>
    </row>
    <row r="71" spans="1:12">
      <c r="A71">
        <v>42516</v>
      </c>
      <c r="B71" t="s">
        <v>232</v>
      </c>
      <c r="C71" t="s">
        <v>633</v>
      </c>
      <c r="D71">
        <v>-9</v>
      </c>
      <c r="E71">
        <v>1994</v>
      </c>
      <c r="F71" t="s">
        <v>663</v>
      </c>
      <c r="I71">
        <v>1987</v>
      </c>
      <c r="J71">
        <v>1965</v>
      </c>
      <c r="K71">
        <f t="shared" si="1"/>
        <v>1988</v>
      </c>
      <c r="L71" t="s">
        <v>1160</v>
      </c>
    </row>
    <row r="72" spans="1:12">
      <c r="A72">
        <v>43490</v>
      </c>
      <c r="B72" t="s">
        <v>273</v>
      </c>
      <c r="C72" t="s">
        <v>634</v>
      </c>
      <c r="D72">
        <v>166683</v>
      </c>
      <c r="E72">
        <v>2000</v>
      </c>
      <c r="F72" t="s">
        <v>664</v>
      </c>
      <c r="I72">
        <v>1992</v>
      </c>
      <c r="J72">
        <v>1970</v>
      </c>
      <c r="K72">
        <f t="shared" si="1"/>
        <v>1994</v>
      </c>
      <c r="L72" t="s">
        <v>1171</v>
      </c>
    </row>
    <row r="73" spans="1:12">
      <c r="A73">
        <v>43619</v>
      </c>
      <c r="B73" t="s">
        <v>303</v>
      </c>
      <c r="C73" t="s">
        <v>635</v>
      </c>
      <c r="D73">
        <v>171128</v>
      </c>
      <c r="E73">
        <v>2001</v>
      </c>
      <c r="I73">
        <v>1992</v>
      </c>
      <c r="J73">
        <v>1971</v>
      </c>
      <c r="K73">
        <f t="shared" si="1"/>
        <v>1995</v>
      </c>
      <c r="L73" t="s">
        <v>1168</v>
      </c>
    </row>
    <row r="74" spans="1:12">
      <c r="A74">
        <v>43632</v>
      </c>
      <c r="B74" t="s">
        <v>589</v>
      </c>
      <c r="C74" t="s">
        <v>636</v>
      </c>
      <c r="D74">
        <v>162928</v>
      </c>
      <c r="E74">
        <v>1997</v>
      </c>
      <c r="I74">
        <v>1990</v>
      </c>
      <c r="J74">
        <v>1967</v>
      </c>
      <c r="K74">
        <f t="shared" si="1"/>
        <v>1991</v>
      </c>
      <c r="L74" t="s">
        <v>1159</v>
      </c>
    </row>
    <row r="75" spans="1:12">
      <c r="A75">
        <v>43883</v>
      </c>
      <c r="B75" t="s">
        <v>154</v>
      </c>
      <c r="C75" t="s">
        <v>380</v>
      </c>
      <c r="D75">
        <v>110635</v>
      </c>
      <c r="E75">
        <v>1994</v>
      </c>
      <c r="F75" t="s">
        <v>665</v>
      </c>
      <c r="I75">
        <v>1988</v>
      </c>
      <c r="K75">
        <f t="shared" si="1"/>
        <v>1988</v>
      </c>
      <c r="L75" t="s">
        <v>1160</v>
      </c>
    </row>
    <row r="76" spans="1:12">
      <c r="A76">
        <v>44441</v>
      </c>
      <c r="B76" t="s">
        <v>590</v>
      </c>
      <c r="C76" t="s">
        <v>612</v>
      </c>
      <c r="D76">
        <v>110635</v>
      </c>
      <c r="E76">
        <v>2001</v>
      </c>
      <c r="I76">
        <v>1994</v>
      </c>
      <c r="K76">
        <f t="shared" si="1"/>
        <v>1995</v>
      </c>
      <c r="L76" t="s">
        <v>1168</v>
      </c>
    </row>
    <row r="77" spans="1:12">
      <c r="A77">
        <v>44470</v>
      </c>
      <c r="B77" t="s">
        <v>205</v>
      </c>
      <c r="C77" t="s">
        <v>205</v>
      </c>
      <c r="D77">
        <v>194824</v>
      </c>
      <c r="E77">
        <v>1961</v>
      </c>
      <c r="F77" t="s">
        <v>666</v>
      </c>
      <c r="I77">
        <v>1956</v>
      </c>
      <c r="J77">
        <v>1935</v>
      </c>
      <c r="K77">
        <f t="shared" si="1"/>
        <v>1955</v>
      </c>
      <c r="L77" t="s">
        <v>1179</v>
      </c>
    </row>
    <row r="78" spans="1:12">
      <c r="A78">
        <v>45090</v>
      </c>
      <c r="B78" t="s">
        <v>591</v>
      </c>
      <c r="C78" t="s">
        <v>637</v>
      </c>
      <c r="D78">
        <v>145637</v>
      </c>
      <c r="E78">
        <v>1986</v>
      </c>
      <c r="I78">
        <v>1982</v>
      </c>
      <c r="J78">
        <v>1960</v>
      </c>
      <c r="K78">
        <f t="shared" si="1"/>
        <v>1980</v>
      </c>
      <c r="L78" t="s">
        <v>1158</v>
      </c>
    </row>
    <row r="79" spans="1:12">
      <c r="A79">
        <v>47126</v>
      </c>
      <c r="B79" t="s">
        <v>220</v>
      </c>
      <c r="C79" t="s">
        <v>471</v>
      </c>
      <c r="D79">
        <v>-9</v>
      </c>
      <c r="E79">
        <v>2004</v>
      </c>
      <c r="I79">
        <v>1993</v>
      </c>
      <c r="J79">
        <v>1971</v>
      </c>
      <c r="K79">
        <f t="shared" si="1"/>
        <v>1998</v>
      </c>
      <c r="L79" t="s">
        <v>1180</v>
      </c>
    </row>
    <row r="80" spans="1:12">
      <c r="A80">
        <v>47805</v>
      </c>
      <c r="B80" t="s">
        <v>172</v>
      </c>
      <c r="C80" t="s">
        <v>473</v>
      </c>
      <c r="D80">
        <v>166027</v>
      </c>
      <c r="E80">
        <v>1965</v>
      </c>
      <c r="I80">
        <v>1961</v>
      </c>
      <c r="J80">
        <v>1942</v>
      </c>
      <c r="K80">
        <f t="shared" si="1"/>
        <v>1959</v>
      </c>
      <c r="L80" t="s">
        <v>1165</v>
      </c>
    </row>
    <row r="81" spans="1:12">
      <c r="A81">
        <v>48483</v>
      </c>
      <c r="B81" t="s">
        <v>82</v>
      </c>
      <c r="C81" t="s">
        <v>228</v>
      </c>
      <c r="D81">
        <v>243744</v>
      </c>
      <c r="E81">
        <v>2009</v>
      </c>
      <c r="I81">
        <v>2004</v>
      </c>
      <c r="J81">
        <v>1982</v>
      </c>
      <c r="K81">
        <f t="shared" si="1"/>
        <v>2003</v>
      </c>
      <c r="L81" t="s">
        <v>1178</v>
      </c>
    </row>
    <row r="82" spans="1:12">
      <c r="A82">
        <v>48699</v>
      </c>
      <c r="B82" t="s">
        <v>230</v>
      </c>
      <c r="C82" t="s">
        <v>634</v>
      </c>
      <c r="D82">
        <v>166683</v>
      </c>
      <c r="E82">
        <v>1994</v>
      </c>
      <c r="I82">
        <v>1988</v>
      </c>
      <c r="J82">
        <v>1966</v>
      </c>
      <c r="K82">
        <f t="shared" si="1"/>
        <v>1988</v>
      </c>
      <c r="L82" t="s">
        <v>1160</v>
      </c>
    </row>
    <row r="83" spans="1:12">
      <c r="A83">
        <v>48708</v>
      </c>
      <c r="B83" t="s">
        <v>230</v>
      </c>
      <c r="C83" t="s">
        <v>638</v>
      </c>
      <c r="D83">
        <v>190150</v>
      </c>
      <c r="E83">
        <v>1962</v>
      </c>
      <c r="I83">
        <v>1956</v>
      </c>
      <c r="J83">
        <v>1932</v>
      </c>
      <c r="K83">
        <f t="shared" si="1"/>
        <v>1956</v>
      </c>
      <c r="L83" t="s">
        <v>1150</v>
      </c>
    </row>
    <row r="84" spans="1:12">
      <c r="A84">
        <v>49000</v>
      </c>
      <c r="B84" t="s">
        <v>592</v>
      </c>
      <c r="C84" t="s">
        <v>429</v>
      </c>
      <c r="D84">
        <v>201885</v>
      </c>
      <c r="E84">
        <v>1958</v>
      </c>
      <c r="I84">
        <v>1954</v>
      </c>
      <c r="K84">
        <f t="shared" si="1"/>
        <v>1952</v>
      </c>
      <c r="L84" t="s">
        <v>1181</v>
      </c>
    </row>
    <row r="85" spans="1:12">
      <c r="A85">
        <v>49978</v>
      </c>
      <c r="B85" t="s">
        <v>593</v>
      </c>
      <c r="C85" t="s">
        <v>639</v>
      </c>
      <c r="D85">
        <v>163286</v>
      </c>
      <c r="E85">
        <v>2006</v>
      </c>
      <c r="I85">
        <v>1997</v>
      </c>
      <c r="J85">
        <v>1974</v>
      </c>
      <c r="K85">
        <f t="shared" si="1"/>
        <v>2000</v>
      </c>
      <c r="L85" t="s">
        <v>1182</v>
      </c>
    </row>
    <row r="86" spans="1:12">
      <c r="A86">
        <v>50146</v>
      </c>
      <c r="B86" t="s">
        <v>316</v>
      </c>
      <c r="C86" t="s">
        <v>640</v>
      </c>
      <c r="D86">
        <v>199120</v>
      </c>
      <c r="E86">
        <v>2009</v>
      </c>
      <c r="F86" t="s">
        <v>316</v>
      </c>
      <c r="I86">
        <v>2004</v>
      </c>
      <c r="J86">
        <v>1982</v>
      </c>
      <c r="K86">
        <f t="shared" si="1"/>
        <v>2003</v>
      </c>
      <c r="L86" t="s">
        <v>1178</v>
      </c>
    </row>
    <row r="87" spans="1:12">
      <c r="A87">
        <v>50593</v>
      </c>
      <c r="B87" t="s">
        <v>228</v>
      </c>
      <c r="C87" t="s">
        <v>641</v>
      </c>
      <c r="D87">
        <v>186131</v>
      </c>
      <c r="E87">
        <v>2009</v>
      </c>
      <c r="I87">
        <v>2003</v>
      </c>
      <c r="J87">
        <v>1981</v>
      </c>
      <c r="K87">
        <f t="shared" si="1"/>
        <v>2003</v>
      </c>
      <c r="L87" t="s">
        <v>1178</v>
      </c>
    </row>
    <row r="88" spans="1:12">
      <c r="A88">
        <v>50890</v>
      </c>
      <c r="B88" t="s">
        <v>168</v>
      </c>
      <c r="C88" t="s">
        <v>475</v>
      </c>
      <c r="D88">
        <v>196097</v>
      </c>
      <c r="E88">
        <v>2001</v>
      </c>
      <c r="I88">
        <v>1996</v>
      </c>
      <c r="J88">
        <v>1974</v>
      </c>
      <c r="K88">
        <f t="shared" si="1"/>
        <v>1995</v>
      </c>
      <c r="L88" t="s">
        <v>1168</v>
      </c>
    </row>
    <row r="89" spans="1:12">
      <c r="A89">
        <v>51101</v>
      </c>
      <c r="B89" t="s">
        <v>264</v>
      </c>
      <c r="C89" t="s">
        <v>642</v>
      </c>
      <c r="D89">
        <v>147767</v>
      </c>
      <c r="E89">
        <v>1965</v>
      </c>
      <c r="I89">
        <v>1959</v>
      </c>
      <c r="J89">
        <v>1937</v>
      </c>
      <c r="K89">
        <f t="shared" si="1"/>
        <v>1959</v>
      </c>
      <c r="L89" t="s">
        <v>1165</v>
      </c>
    </row>
    <row r="90" spans="1:12">
      <c r="A90">
        <v>51420</v>
      </c>
      <c r="B90" t="s">
        <v>77</v>
      </c>
      <c r="C90" t="s">
        <v>643</v>
      </c>
      <c r="D90">
        <v>223232</v>
      </c>
      <c r="E90">
        <v>2009</v>
      </c>
      <c r="F90" t="s">
        <v>77</v>
      </c>
      <c r="J90">
        <v>1976</v>
      </c>
      <c r="K90">
        <f t="shared" si="1"/>
        <v>2003</v>
      </c>
      <c r="L90" t="s">
        <v>1178</v>
      </c>
    </row>
    <row r="91" spans="1:12">
      <c r="A91">
        <v>51718</v>
      </c>
      <c r="B91" t="s">
        <v>202</v>
      </c>
      <c r="C91" t="s">
        <v>477</v>
      </c>
      <c r="D91">
        <v>130794</v>
      </c>
      <c r="E91">
        <v>1986</v>
      </c>
      <c r="I91">
        <v>1978</v>
      </c>
      <c r="J91">
        <v>1952</v>
      </c>
      <c r="K91">
        <f t="shared" si="1"/>
        <v>1980</v>
      </c>
      <c r="L91" t="s">
        <v>1158</v>
      </c>
    </row>
    <row r="92" spans="1:12">
      <c r="A92">
        <v>52058</v>
      </c>
      <c r="B92" t="s">
        <v>594</v>
      </c>
      <c r="C92" t="s">
        <v>301</v>
      </c>
      <c r="D92">
        <v>195030</v>
      </c>
      <c r="E92">
        <v>1996</v>
      </c>
      <c r="F92" t="s">
        <v>648</v>
      </c>
      <c r="I92">
        <v>1987</v>
      </c>
      <c r="J92">
        <v>1965</v>
      </c>
      <c r="K92">
        <f t="shared" si="1"/>
        <v>1990</v>
      </c>
      <c r="L92" t="s">
        <v>1162</v>
      </c>
    </row>
    <row r="93" spans="1:12">
      <c r="A93">
        <v>52327</v>
      </c>
      <c r="B93" t="s">
        <v>595</v>
      </c>
      <c r="C93" t="s">
        <v>644</v>
      </c>
      <c r="D93">
        <v>166638</v>
      </c>
      <c r="E93">
        <v>2009</v>
      </c>
      <c r="I93">
        <v>1999</v>
      </c>
      <c r="J93">
        <v>1978</v>
      </c>
      <c r="K93">
        <f t="shared" si="1"/>
        <v>2003</v>
      </c>
      <c r="L93" t="s">
        <v>1178</v>
      </c>
    </row>
    <row r="94" spans="1:12">
      <c r="A94">
        <v>52432</v>
      </c>
      <c r="B94" t="s">
        <v>596</v>
      </c>
      <c r="C94" t="s">
        <v>559</v>
      </c>
      <c r="D94">
        <v>228723</v>
      </c>
      <c r="E94">
        <v>1984</v>
      </c>
      <c r="F94" t="s">
        <v>667</v>
      </c>
      <c r="I94">
        <v>1972</v>
      </c>
      <c r="J94">
        <v>1947</v>
      </c>
      <c r="K94">
        <f t="shared" si="1"/>
        <v>1978</v>
      </c>
      <c r="L94" t="s">
        <v>1183</v>
      </c>
    </row>
    <row r="95" spans="1:12">
      <c r="A95">
        <v>52733</v>
      </c>
      <c r="B95" t="s">
        <v>597</v>
      </c>
      <c r="C95" t="s">
        <v>645</v>
      </c>
      <c r="D95">
        <v>139755</v>
      </c>
      <c r="E95">
        <v>2003</v>
      </c>
      <c r="I95">
        <v>1990</v>
      </c>
      <c r="K95">
        <f t="shared" si="1"/>
        <v>1997</v>
      </c>
      <c r="L95" t="s">
        <v>1153</v>
      </c>
    </row>
    <row r="96" spans="1:12">
      <c r="A96">
        <v>53347</v>
      </c>
      <c r="B96" t="s">
        <v>598</v>
      </c>
      <c r="C96" t="s">
        <v>646</v>
      </c>
      <c r="D96">
        <v>193900</v>
      </c>
      <c r="E96">
        <v>1964</v>
      </c>
      <c r="I96">
        <v>1960</v>
      </c>
      <c r="J96">
        <v>1940</v>
      </c>
      <c r="K96">
        <f t="shared" si="1"/>
        <v>1958</v>
      </c>
      <c r="L96" t="s">
        <v>1155</v>
      </c>
    </row>
    <row r="97" spans="1:12">
      <c r="A97">
        <v>53572</v>
      </c>
      <c r="B97" t="s">
        <v>599</v>
      </c>
      <c r="C97" t="s">
        <v>36</v>
      </c>
      <c r="D97">
        <v>230038</v>
      </c>
      <c r="E97">
        <v>1999</v>
      </c>
      <c r="I97">
        <v>1984</v>
      </c>
      <c r="J97">
        <v>1964</v>
      </c>
      <c r="K97">
        <f t="shared" si="1"/>
        <v>1993</v>
      </c>
      <c r="L97" t="s">
        <v>1152</v>
      </c>
    </row>
    <row r="98" spans="1:12">
      <c r="A98">
        <v>54076</v>
      </c>
      <c r="B98" t="s">
        <v>293</v>
      </c>
      <c r="C98" t="s">
        <v>647</v>
      </c>
      <c r="D98">
        <v>-9</v>
      </c>
      <c r="E98">
        <v>2000</v>
      </c>
      <c r="I98">
        <v>1994</v>
      </c>
      <c r="J98">
        <v>1971</v>
      </c>
      <c r="K98">
        <f t="shared" si="1"/>
        <v>1994</v>
      </c>
      <c r="L98" t="s">
        <v>1171</v>
      </c>
    </row>
    <row r="99" spans="1:12">
      <c r="A99">
        <v>55450</v>
      </c>
      <c r="B99" t="s">
        <v>133</v>
      </c>
      <c r="C99" t="s">
        <v>648</v>
      </c>
      <c r="D99">
        <v>110662</v>
      </c>
      <c r="E99">
        <v>1985</v>
      </c>
      <c r="F99" t="s">
        <v>668</v>
      </c>
      <c r="I99">
        <v>1974</v>
      </c>
      <c r="J99">
        <v>1952</v>
      </c>
      <c r="K99">
        <f t="shared" si="1"/>
        <v>1979</v>
      </c>
      <c r="L99" t="s">
        <v>1170</v>
      </c>
    </row>
    <row r="100" spans="1:12">
      <c r="A100">
        <v>68739</v>
      </c>
      <c r="B100" t="s">
        <v>212</v>
      </c>
      <c r="E100">
        <v>2000</v>
      </c>
      <c r="I100">
        <v>1991</v>
      </c>
      <c r="J100">
        <v>1970</v>
      </c>
      <c r="K100">
        <f t="shared" si="1"/>
        <v>1994</v>
      </c>
      <c r="L100" t="s">
        <v>1171</v>
      </c>
    </row>
    <row r="101" spans="1:12">
      <c r="A101">
        <v>90313</v>
      </c>
      <c r="B101" t="s">
        <v>311</v>
      </c>
      <c r="C101" t="s">
        <v>449</v>
      </c>
      <c r="D101">
        <v>170976</v>
      </c>
      <c r="E101">
        <v>1999</v>
      </c>
      <c r="I101">
        <v>1991</v>
      </c>
      <c r="J101">
        <v>1963</v>
      </c>
      <c r="K101">
        <f t="shared" si="1"/>
        <v>1993</v>
      </c>
      <c r="L101" t="s">
        <v>1152</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S101"/>
  <sheetViews>
    <sheetView showFormulas="1" workbookViewId="0">
      <selection activeCell="E27" sqref="E27"/>
    </sheetView>
  </sheetViews>
  <sheetFormatPr baseColWidth="10" defaultColWidth="4.5" defaultRowHeight="14" x14ac:dyDescent="0"/>
  <sheetData>
    <row r="1" spans="1:14">
      <c r="A1" t="s">
        <v>0</v>
      </c>
      <c r="B1" t="s">
        <v>342</v>
      </c>
      <c r="C1" t="s">
        <v>570</v>
      </c>
      <c r="D1" t="s">
        <v>600</v>
      </c>
      <c r="E1" t="s">
        <v>650</v>
      </c>
    </row>
    <row r="2" spans="1:14">
      <c r="A2">
        <v>30021</v>
      </c>
      <c r="B2" t="s">
        <v>236</v>
      </c>
      <c r="C2" t="s">
        <v>235</v>
      </c>
      <c r="D2" t="s">
        <v>242</v>
      </c>
      <c r="F2" t="s">
        <v>235</v>
      </c>
      <c r="G2" t="s">
        <v>242</v>
      </c>
    </row>
    <row r="3" spans="1:14">
      <c r="A3">
        <v>30037</v>
      </c>
      <c r="B3" t="s">
        <v>105</v>
      </c>
      <c r="C3" t="s">
        <v>104</v>
      </c>
      <c r="D3" t="s">
        <v>602</v>
      </c>
      <c r="E3" t="s">
        <v>104</v>
      </c>
      <c r="F3" t="s">
        <v>104</v>
      </c>
    </row>
    <row r="4" spans="1:14">
      <c r="A4">
        <v>30056</v>
      </c>
      <c r="B4" t="s">
        <v>308</v>
      </c>
      <c r="C4" t="s">
        <v>310</v>
      </c>
      <c r="D4" t="s">
        <v>603</v>
      </c>
      <c r="F4" t="s">
        <v>310</v>
      </c>
    </row>
    <row r="5" spans="1:14">
      <c r="A5">
        <v>30061</v>
      </c>
      <c r="B5" t="s">
        <v>140</v>
      </c>
      <c r="C5" t="s">
        <v>139</v>
      </c>
      <c r="D5" t="s">
        <v>199</v>
      </c>
      <c r="F5" t="s">
        <v>139</v>
      </c>
    </row>
    <row r="6" spans="1:14">
      <c r="A6">
        <v>30100</v>
      </c>
      <c r="B6" t="s">
        <v>67</v>
      </c>
      <c r="C6" t="s">
        <v>66</v>
      </c>
      <c r="D6" t="s">
        <v>139</v>
      </c>
      <c r="F6" t="s">
        <v>66</v>
      </c>
    </row>
    <row r="7" spans="1:14">
      <c r="A7">
        <v>30192</v>
      </c>
      <c r="B7" t="s">
        <v>338</v>
      </c>
      <c r="C7" t="s">
        <v>337</v>
      </c>
      <c r="F7" t="s">
        <v>337</v>
      </c>
    </row>
    <row r="8" spans="1:14">
      <c r="A8">
        <v>30222</v>
      </c>
      <c r="B8" t="s">
        <v>87</v>
      </c>
      <c r="C8" t="s">
        <v>571</v>
      </c>
      <c r="F8" t="s">
        <v>86</v>
      </c>
    </row>
    <row r="9" spans="1:14">
      <c r="A9">
        <v>30341</v>
      </c>
      <c r="B9" t="s">
        <v>117</v>
      </c>
      <c r="C9" t="s">
        <v>116</v>
      </c>
      <c r="D9" t="s">
        <v>190</v>
      </c>
      <c r="F9" t="s">
        <v>116</v>
      </c>
      <c r="G9" t="s">
        <v>108</v>
      </c>
      <c r="H9" t="s">
        <v>116</v>
      </c>
      <c r="I9" t="s">
        <v>190</v>
      </c>
    </row>
    <row r="10" spans="1:14">
      <c r="A10">
        <v>30364</v>
      </c>
      <c r="B10" t="s">
        <v>368</v>
      </c>
      <c r="C10" t="s">
        <v>572</v>
      </c>
      <c r="D10" t="s">
        <v>318</v>
      </c>
      <c r="E10" t="s">
        <v>651</v>
      </c>
      <c r="G10" t="s">
        <v>323</v>
      </c>
      <c r="H10" t="s">
        <v>318</v>
      </c>
      <c r="I10" t="s">
        <v>189</v>
      </c>
      <c r="J10" t="s">
        <v>121</v>
      </c>
    </row>
    <row r="11" spans="1:14">
      <c r="A11">
        <v>30422</v>
      </c>
      <c r="B11" t="s">
        <v>165</v>
      </c>
      <c r="C11" t="s">
        <v>164</v>
      </c>
      <c r="D11" t="s">
        <v>255</v>
      </c>
      <c r="F11" t="s">
        <v>164</v>
      </c>
    </row>
    <row r="12" spans="1:14">
      <c r="A12">
        <v>30442</v>
      </c>
      <c r="B12" t="s">
        <v>243</v>
      </c>
      <c r="C12" t="s">
        <v>242</v>
      </c>
      <c r="D12" t="s">
        <v>604</v>
      </c>
      <c r="F12" t="s">
        <v>242</v>
      </c>
      <c r="G12" t="s">
        <v>451</v>
      </c>
      <c r="H12" t="s">
        <v>452</v>
      </c>
    </row>
    <row r="13" spans="1:14">
      <c r="A13">
        <v>30651</v>
      </c>
      <c r="B13" t="s">
        <v>159</v>
      </c>
      <c r="C13" t="s">
        <v>158</v>
      </c>
      <c r="D13" t="s">
        <v>605</v>
      </c>
      <c r="E13" t="s">
        <v>652</v>
      </c>
      <c r="F13" t="s">
        <v>158</v>
      </c>
      <c r="G13" t="s">
        <v>453</v>
      </c>
      <c r="H13" t="s">
        <v>454</v>
      </c>
      <c r="I13" t="s">
        <v>276</v>
      </c>
      <c r="J13" t="s">
        <v>130</v>
      </c>
    </row>
    <row r="14" spans="1:14">
      <c r="A14">
        <v>30701</v>
      </c>
      <c r="B14" t="s">
        <v>239</v>
      </c>
      <c r="C14" t="s">
        <v>235</v>
      </c>
      <c r="F14" t="s">
        <v>235</v>
      </c>
      <c r="G14" t="s">
        <v>452</v>
      </c>
    </row>
    <row r="15" spans="1:14">
      <c r="A15">
        <v>30758</v>
      </c>
      <c r="B15" t="s">
        <v>142</v>
      </c>
      <c r="C15" t="s">
        <v>139</v>
      </c>
      <c r="D15" t="s">
        <v>606</v>
      </c>
      <c r="F15" t="s">
        <v>139</v>
      </c>
    </row>
    <row r="16" spans="1:14" ht="15">
      <c r="A16">
        <v>30794</v>
      </c>
      <c r="B16" t="s">
        <v>365</v>
      </c>
      <c r="C16" t="s">
        <v>122</v>
      </c>
      <c r="D16" t="s">
        <v>38</v>
      </c>
      <c r="G16" t="s">
        <v>38</v>
      </c>
      <c r="H16" t="s">
        <v>107</v>
      </c>
      <c r="I16" t="s">
        <v>71</v>
      </c>
      <c r="J16" t="s">
        <v>482</v>
      </c>
      <c r="K16" t="s">
        <v>177</v>
      </c>
      <c r="L16" t="s">
        <v>130</v>
      </c>
      <c r="M16" t="s">
        <v>483</v>
      </c>
      <c r="N16" t="s">
        <v>484</v>
      </c>
    </row>
    <row r="17" spans="1:13">
      <c r="A17">
        <v>30932</v>
      </c>
      <c r="B17" t="s">
        <v>90</v>
      </c>
      <c r="C17" t="s">
        <v>571</v>
      </c>
      <c r="D17" t="s">
        <v>607</v>
      </c>
      <c r="F17" t="s">
        <v>86</v>
      </c>
      <c r="G17" t="s">
        <v>377</v>
      </c>
      <c r="H17" t="s">
        <v>378</v>
      </c>
    </row>
    <row r="18" spans="1:13">
      <c r="A18">
        <v>30951</v>
      </c>
      <c r="B18" t="s">
        <v>290</v>
      </c>
      <c r="C18" t="s">
        <v>573</v>
      </c>
      <c r="D18" t="s">
        <v>429</v>
      </c>
      <c r="E18" t="s">
        <v>653</v>
      </c>
      <c r="F18" t="s">
        <v>289</v>
      </c>
    </row>
    <row r="19" spans="1:13">
      <c r="A19">
        <v>30953</v>
      </c>
      <c r="B19" t="s">
        <v>291</v>
      </c>
      <c r="C19" t="s">
        <v>573</v>
      </c>
      <c r="D19" t="s">
        <v>608</v>
      </c>
      <c r="F19" t="s">
        <v>289</v>
      </c>
    </row>
    <row r="20" spans="1:13">
      <c r="A20">
        <v>30972</v>
      </c>
      <c r="B20" t="s">
        <v>352</v>
      </c>
      <c r="C20" t="s">
        <v>574</v>
      </c>
      <c r="D20" t="s">
        <v>609</v>
      </c>
      <c r="G20" t="s">
        <v>485</v>
      </c>
      <c r="H20" t="s">
        <v>486</v>
      </c>
      <c r="I20" t="s">
        <v>158</v>
      </c>
      <c r="J20" t="s">
        <v>487</v>
      </c>
    </row>
    <row r="21" spans="1:13">
      <c r="A21">
        <v>31078</v>
      </c>
      <c r="B21" t="s">
        <v>246</v>
      </c>
      <c r="C21" t="s">
        <v>242</v>
      </c>
      <c r="D21" t="s">
        <v>610</v>
      </c>
      <c r="F21" t="s">
        <v>242</v>
      </c>
    </row>
    <row r="22" spans="1:13">
      <c r="A22">
        <v>31202</v>
      </c>
      <c r="B22" t="s">
        <v>345</v>
      </c>
      <c r="C22" t="s">
        <v>219</v>
      </c>
      <c r="D22" t="s">
        <v>610</v>
      </c>
      <c r="G22" t="s">
        <v>219</v>
      </c>
      <c r="H22" t="s">
        <v>431</v>
      </c>
      <c r="I22" t="s">
        <v>488</v>
      </c>
      <c r="J22" t="s">
        <v>318</v>
      </c>
    </row>
    <row r="23" spans="1:13">
      <c r="A23">
        <v>31234</v>
      </c>
      <c r="B23" t="s">
        <v>361</v>
      </c>
      <c r="C23" t="s">
        <v>72</v>
      </c>
      <c r="D23" t="s">
        <v>328</v>
      </c>
      <c r="G23" t="s">
        <v>328</v>
      </c>
      <c r="H23" t="s">
        <v>21</v>
      </c>
      <c r="I23" t="s">
        <v>461</v>
      </c>
      <c r="J23" t="s">
        <v>489</v>
      </c>
      <c r="K23" t="s">
        <v>490</v>
      </c>
      <c r="L23" t="s">
        <v>227</v>
      </c>
    </row>
    <row r="24" spans="1:13">
      <c r="A24">
        <v>31272</v>
      </c>
      <c r="B24" t="s">
        <v>40</v>
      </c>
      <c r="C24" t="s">
        <v>39</v>
      </c>
      <c r="D24" t="s">
        <v>392</v>
      </c>
      <c r="F24" t="s">
        <v>39</v>
      </c>
      <c r="G24" t="s">
        <v>379</v>
      </c>
      <c r="I24" t="s">
        <v>380</v>
      </c>
      <c r="J24" t="s">
        <v>300</v>
      </c>
      <c r="K24" t="s">
        <v>39</v>
      </c>
    </row>
    <row r="25" spans="1:13">
      <c r="A25">
        <v>31481</v>
      </c>
      <c r="B25" t="s">
        <v>330</v>
      </c>
      <c r="C25" t="s">
        <v>329</v>
      </c>
      <c r="D25" t="s">
        <v>269</v>
      </c>
      <c r="F25" t="s">
        <v>329</v>
      </c>
      <c r="G25" t="s">
        <v>208</v>
      </c>
      <c r="H25" t="s">
        <v>398</v>
      </c>
      <c r="I25" t="s">
        <v>399</v>
      </c>
      <c r="J25" t="s">
        <v>392</v>
      </c>
    </row>
    <row r="26" spans="1:13">
      <c r="A26">
        <v>31495</v>
      </c>
      <c r="B26" t="s">
        <v>351</v>
      </c>
      <c r="C26" t="s">
        <v>575</v>
      </c>
      <c r="G26" t="s">
        <v>491</v>
      </c>
      <c r="H26" t="s">
        <v>492</v>
      </c>
      <c r="I26" t="s">
        <v>493</v>
      </c>
      <c r="J26" t="s">
        <v>494</v>
      </c>
      <c r="K26" t="s">
        <v>495</v>
      </c>
      <c r="L26" t="s">
        <v>283</v>
      </c>
      <c r="M26" t="s">
        <v>496</v>
      </c>
    </row>
    <row r="27" spans="1:13">
      <c r="A27">
        <v>32009</v>
      </c>
      <c r="B27" t="s">
        <v>184</v>
      </c>
      <c r="C27" t="s">
        <v>183</v>
      </c>
      <c r="D27" t="s">
        <v>611</v>
      </c>
      <c r="E27" t="s">
        <v>654</v>
      </c>
      <c r="F27" t="s">
        <v>183</v>
      </c>
      <c r="G27" t="s">
        <v>333</v>
      </c>
      <c r="H27" t="s">
        <v>81</v>
      </c>
      <c r="I27" t="s">
        <v>197</v>
      </c>
    </row>
    <row r="28" spans="1:13">
      <c r="A28">
        <v>32444</v>
      </c>
      <c r="B28" t="s">
        <v>233</v>
      </c>
      <c r="C28" t="s">
        <v>576</v>
      </c>
      <c r="D28" t="s">
        <v>431</v>
      </c>
      <c r="F28" t="s">
        <v>234</v>
      </c>
      <c r="G28" t="s">
        <v>455</v>
      </c>
      <c r="H28" t="s">
        <v>103</v>
      </c>
      <c r="I28" t="s">
        <v>456</v>
      </c>
      <c r="J28" t="s">
        <v>431</v>
      </c>
      <c r="K28" t="s">
        <v>94</v>
      </c>
    </row>
    <row r="29" spans="1:13">
      <c r="A29">
        <v>32896</v>
      </c>
      <c r="B29" t="s">
        <v>218</v>
      </c>
      <c r="C29" t="s">
        <v>217</v>
      </c>
      <c r="D29" t="s">
        <v>477</v>
      </c>
      <c r="F29" t="s">
        <v>217</v>
      </c>
      <c r="G29" t="s">
        <v>319</v>
      </c>
      <c r="H29" t="s">
        <v>340</v>
      </c>
    </row>
    <row r="30" spans="1:13">
      <c r="A30">
        <v>32937</v>
      </c>
      <c r="B30" t="s">
        <v>354</v>
      </c>
      <c r="C30" t="s">
        <v>275</v>
      </c>
      <c r="D30" t="s">
        <v>497</v>
      </c>
      <c r="G30" t="s">
        <v>497</v>
      </c>
      <c r="H30" t="s">
        <v>498</v>
      </c>
      <c r="I30" t="s">
        <v>499</v>
      </c>
      <c r="J30" t="s">
        <v>500</v>
      </c>
      <c r="K30" t="s">
        <v>501</v>
      </c>
      <c r="L30" t="s">
        <v>502</v>
      </c>
    </row>
    <row r="31" spans="1:13">
      <c r="A31">
        <v>32986</v>
      </c>
      <c r="B31" t="s">
        <v>321</v>
      </c>
      <c r="C31" t="s">
        <v>322</v>
      </c>
      <c r="D31" t="s">
        <v>508</v>
      </c>
      <c r="F31" t="s">
        <v>322</v>
      </c>
      <c r="G31" t="s">
        <v>400</v>
      </c>
      <c r="H31" t="s">
        <v>401</v>
      </c>
      <c r="I31" t="s">
        <v>402</v>
      </c>
      <c r="J31" t="s">
        <v>403</v>
      </c>
      <c r="K31" t="s">
        <v>404</v>
      </c>
    </row>
    <row r="32" spans="1:13">
      <c r="A32">
        <v>33130</v>
      </c>
      <c r="B32" t="s">
        <v>114</v>
      </c>
      <c r="C32" t="s">
        <v>113</v>
      </c>
      <c r="D32" t="s">
        <v>612</v>
      </c>
      <c r="E32" t="s">
        <v>340</v>
      </c>
      <c r="F32" t="s">
        <v>113</v>
      </c>
    </row>
    <row r="33" spans="1:13">
      <c r="A33">
        <v>33177</v>
      </c>
      <c r="B33" t="s">
        <v>224</v>
      </c>
      <c r="C33" t="s">
        <v>577</v>
      </c>
      <c r="F33" t="s">
        <v>223</v>
      </c>
      <c r="G33" t="s">
        <v>303</v>
      </c>
      <c r="H33" t="s">
        <v>457</v>
      </c>
    </row>
    <row r="34" spans="1:13">
      <c r="A34">
        <v>33422</v>
      </c>
      <c r="B34" t="s">
        <v>101</v>
      </c>
      <c r="C34" t="s">
        <v>578</v>
      </c>
      <c r="D34" t="s">
        <v>381</v>
      </c>
      <c r="F34" t="s">
        <v>99</v>
      </c>
      <c r="G34" t="s">
        <v>381</v>
      </c>
    </row>
    <row r="35" spans="1:13" ht="16">
      <c r="A35">
        <v>33436</v>
      </c>
      <c r="B35" t="s">
        <v>346</v>
      </c>
      <c r="C35" t="s">
        <v>579</v>
      </c>
      <c r="D35" t="s">
        <v>613</v>
      </c>
      <c r="E35" t="s">
        <v>655</v>
      </c>
      <c r="G35" t="s">
        <v>503</v>
      </c>
      <c r="H35" t="s">
        <v>504</v>
      </c>
      <c r="I35" t="s">
        <v>505</v>
      </c>
      <c r="J35" t="s">
        <v>506</v>
      </c>
      <c r="K35" t="s">
        <v>507</v>
      </c>
      <c r="L35" t="s">
        <v>508</v>
      </c>
    </row>
    <row r="36" spans="1:13">
      <c r="A36">
        <v>33824</v>
      </c>
      <c r="B36" t="s">
        <v>59</v>
      </c>
      <c r="C36" t="s">
        <v>580</v>
      </c>
      <c r="D36" t="s">
        <v>614</v>
      </c>
      <c r="F36" t="s">
        <v>58</v>
      </c>
    </row>
    <row r="37" spans="1:13">
      <c r="A37">
        <v>34545</v>
      </c>
      <c r="B37" t="s">
        <v>210</v>
      </c>
      <c r="C37" t="s">
        <v>209</v>
      </c>
      <c r="D37" t="s">
        <v>615</v>
      </c>
      <c r="F37" t="s">
        <v>209</v>
      </c>
    </row>
    <row r="38" spans="1:13">
      <c r="A38">
        <v>34938</v>
      </c>
      <c r="B38" t="s">
        <v>279</v>
      </c>
      <c r="C38" t="s">
        <v>581</v>
      </c>
      <c r="D38" t="s">
        <v>292</v>
      </c>
      <c r="F38" t="s">
        <v>281</v>
      </c>
    </row>
    <row r="39" spans="1:13">
      <c r="A39">
        <v>35307</v>
      </c>
      <c r="B39" t="s">
        <v>216</v>
      </c>
      <c r="C39" t="s">
        <v>215</v>
      </c>
      <c r="D39" t="s">
        <v>458</v>
      </c>
      <c r="E39" t="s">
        <v>656</v>
      </c>
      <c r="F39" t="s">
        <v>215</v>
      </c>
      <c r="G39" t="s">
        <v>458</v>
      </c>
      <c r="H39" t="s">
        <v>459</v>
      </c>
      <c r="I39" t="s">
        <v>460</v>
      </c>
      <c r="J39" t="s">
        <v>199</v>
      </c>
      <c r="K39" t="s">
        <v>461</v>
      </c>
      <c r="L39" t="s">
        <v>389</v>
      </c>
      <c r="M39" t="s">
        <v>462</v>
      </c>
    </row>
    <row r="40" spans="1:13">
      <c r="A40">
        <v>35436</v>
      </c>
      <c r="B40" t="s">
        <v>143</v>
      </c>
      <c r="C40" t="s">
        <v>144</v>
      </c>
      <c r="D40" t="s">
        <v>616</v>
      </c>
      <c r="F40" t="s">
        <v>144</v>
      </c>
      <c r="G40" t="s">
        <v>382</v>
      </c>
      <c r="H40" t="s">
        <v>383</v>
      </c>
      <c r="I40" t="s">
        <v>293</v>
      </c>
      <c r="J40" t="s">
        <v>299</v>
      </c>
      <c r="K40" t="s">
        <v>384</v>
      </c>
      <c r="L40" t="s">
        <v>385</v>
      </c>
    </row>
    <row r="41" spans="1:13">
      <c r="A41">
        <v>35483</v>
      </c>
      <c r="B41" t="s">
        <v>145</v>
      </c>
      <c r="C41" t="s">
        <v>148</v>
      </c>
      <c r="D41" t="s">
        <v>387</v>
      </c>
      <c r="F41" t="s">
        <v>148</v>
      </c>
      <c r="G41" t="s">
        <v>386</v>
      </c>
      <c r="H41" t="s">
        <v>387</v>
      </c>
    </row>
    <row r="42" spans="1:13">
      <c r="A42">
        <v>35505</v>
      </c>
      <c r="B42" t="s">
        <v>358</v>
      </c>
      <c r="C42" t="s">
        <v>150</v>
      </c>
      <c r="D42" t="s">
        <v>617</v>
      </c>
      <c r="G42" t="s">
        <v>150</v>
      </c>
      <c r="H42" t="s">
        <v>76</v>
      </c>
      <c r="I42" t="s">
        <v>241</v>
      </c>
      <c r="J42" t="s">
        <v>509</v>
      </c>
      <c r="K42" t="s">
        <v>510</v>
      </c>
      <c r="L42" t="s">
        <v>511</v>
      </c>
    </row>
    <row r="43" spans="1:13">
      <c r="A43">
        <v>35698</v>
      </c>
      <c r="B43" t="s">
        <v>334</v>
      </c>
      <c r="C43" t="s">
        <v>335</v>
      </c>
      <c r="D43" t="s">
        <v>618</v>
      </c>
      <c r="F43" t="s">
        <v>335</v>
      </c>
      <c r="G43" t="s">
        <v>198</v>
      </c>
      <c r="H43" t="s">
        <v>278</v>
      </c>
      <c r="I43" t="s">
        <v>405</v>
      </c>
      <c r="J43" t="s">
        <v>406</v>
      </c>
    </row>
    <row r="44" spans="1:13">
      <c r="A44">
        <v>35783</v>
      </c>
      <c r="B44" t="s">
        <v>195</v>
      </c>
      <c r="C44" t="s">
        <v>194</v>
      </c>
      <c r="D44" t="s">
        <v>619</v>
      </c>
      <c r="E44" t="s">
        <v>372</v>
      </c>
      <c r="F44" t="s">
        <v>194</v>
      </c>
    </row>
    <row r="45" spans="1:13">
      <c r="A45">
        <v>36058</v>
      </c>
      <c r="B45" t="s">
        <v>356</v>
      </c>
      <c r="C45" t="s">
        <v>512</v>
      </c>
      <c r="D45" t="s">
        <v>620</v>
      </c>
      <c r="G45" t="s">
        <v>512</v>
      </c>
      <c r="H45" t="s">
        <v>154</v>
      </c>
      <c r="I45" t="s">
        <v>513</v>
      </c>
    </row>
    <row r="46" spans="1:13">
      <c r="A46">
        <v>36101</v>
      </c>
      <c r="B46" t="s">
        <v>362</v>
      </c>
      <c r="C46" t="s">
        <v>108</v>
      </c>
      <c r="D46" t="s">
        <v>513</v>
      </c>
      <c r="E46" t="s">
        <v>108</v>
      </c>
      <c r="G46" t="s">
        <v>108</v>
      </c>
      <c r="H46" t="s">
        <v>515</v>
      </c>
      <c r="I46" t="s">
        <v>513</v>
      </c>
      <c r="J46" t="s">
        <v>514</v>
      </c>
      <c r="K46" t="s">
        <v>516</v>
      </c>
      <c r="L46" t="s">
        <v>517</v>
      </c>
    </row>
    <row r="47" spans="1:13">
      <c r="A47">
        <v>36130</v>
      </c>
      <c r="B47" t="s">
        <v>324</v>
      </c>
      <c r="C47" t="s">
        <v>326</v>
      </c>
      <c r="D47" t="s">
        <v>621</v>
      </c>
      <c r="F47" t="s">
        <v>326</v>
      </c>
      <c r="G47" t="s">
        <v>407</v>
      </c>
      <c r="H47" t="s">
        <v>299</v>
      </c>
    </row>
    <row r="48" spans="1:13">
      <c r="A48">
        <v>36238</v>
      </c>
      <c r="B48" t="s">
        <v>29</v>
      </c>
      <c r="C48" t="s">
        <v>28</v>
      </c>
      <c r="D48" t="s">
        <v>622</v>
      </c>
      <c r="E48" t="s">
        <v>657</v>
      </c>
      <c r="F48" t="s">
        <v>28</v>
      </c>
      <c r="G48" t="s">
        <v>463</v>
      </c>
      <c r="H48" t="s">
        <v>241</v>
      </c>
    </row>
    <row r="49" spans="1:13">
      <c r="A49">
        <v>36302</v>
      </c>
      <c r="B49" t="s">
        <v>314</v>
      </c>
      <c r="C49" t="s">
        <v>315</v>
      </c>
      <c r="D49" t="s">
        <v>200</v>
      </c>
      <c r="F49" t="s">
        <v>315</v>
      </c>
      <c r="G49" t="s">
        <v>408</v>
      </c>
      <c r="H49" t="s">
        <v>409</v>
      </c>
      <c r="I49" t="s">
        <v>340</v>
      </c>
      <c r="J49" t="s">
        <v>389</v>
      </c>
      <c r="K49" t="s">
        <v>410</v>
      </c>
    </row>
    <row r="50" spans="1:13">
      <c r="A50">
        <v>36793</v>
      </c>
      <c r="B50" t="s">
        <v>124</v>
      </c>
      <c r="C50" t="s">
        <v>123</v>
      </c>
      <c r="D50" t="s">
        <v>623</v>
      </c>
      <c r="F50" t="s">
        <v>123</v>
      </c>
      <c r="G50" t="s">
        <v>388</v>
      </c>
    </row>
    <row r="51" spans="1:13">
      <c r="A51">
        <v>37054</v>
      </c>
      <c r="B51" t="s">
        <v>364</v>
      </c>
      <c r="C51" t="s">
        <v>582</v>
      </c>
      <c r="D51" t="s">
        <v>465</v>
      </c>
      <c r="G51" t="s">
        <v>518</v>
      </c>
      <c r="H51" t="s">
        <v>465</v>
      </c>
      <c r="I51" t="s">
        <v>519</v>
      </c>
      <c r="J51" t="s">
        <v>520</v>
      </c>
    </row>
    <row r="52" spans="1:13">
      <c r="A52">
        <v>37314</v>
      </c>
      <c r="B52" t="s">
        <v>127</v>
      </c>
      <c r="C52" t="s">
        <v>123</v>
      </c>
      <c r="D52" t="s">
        <v>624</v>
      </c>
      <c r="E52" t="s">
        <v>123</v>
      </c>
      <c r="F52" t="s">
        <v>123</v>
      </c>
    </row>
    <row r="53" spans="1:13">
      <c r="A53">
        <v>37347</v>
      </c>
      <c r="B53" t="s">
        <v>149</v>
      </c>
      <c r="C53" t="s">
        <v>148</v>
      </c>
      <c r="D53" t="s">
        <v>389</v>
      </c>
      <c r="F53" t="s">
        <v>148</v>
      </c>
      <c r="G53" t="s">
        <v>201</v>
      </c>
      <c r="H53" t="s">
        <v>379</v>
      </c>
      <c r="I53" t="s">
        <v>389</v>
      </c>
    </row>
    <row r="54" spans="1:13">
      <c r="A54">
        <v>37577</v>
      </c>
      <c r="B54" t="s">
        <v>187</v>
      </c>
      <c r="C54" t="s">
        <v>186</v>
      </c>
      <c r="D54" t="s">
        <v>320</v>
      </c>
      <c r="F54" t="s">
        <v>186</v>
      </c>
      <c r="G54" t="s">
        <v>172</v>
      </c>
      <c r="H54" t="s">
        <v>320</v>
      </c>
      <c r="I54" t="s">
        <v>464</v>
      </c>
    </row>
    <row r="55" spans="1:13">
      <c r="A55">
        <v>37623</v>
      </c>
      <c r="B55" t="s">
        <v>109</v>
      </c>
      <c r="C55" t="s">
        <v>108</v>
      </c>
      <c r="D55" t="s">
        <v>318</v>
      </c>
      <c r="F55" t="s">
        <v>108</v>
      </c>
      <c r="G55" t="s">
        <v>318</v>
      </c>
      <c r="H55" t="s">
        <v>190</v>
      </c>
      <c r="I55" t="s">
        <v>390</v>
      </c>
    </row>
    <row r="56" spans="1:13">
      <c r="A56">
        <v>38326</v>
      </c>
      <c r="B56" t="s">
        <v>357</v>
      </c>
      <c r="C56" t="s">
        <v>583</v>
      </c>
      <c r="D56" t="s">
        <v>138</v>
      </c>
      <c r="G56" t="s">
        <v>521</v>
      </c>
      <c r="H56" t="s">
        <v>138</v>
      </c>
      <c r="I56" t="s">
        <v>373</v>
      </c>
      <c r="J56" t="s">
        <v>39</v>
      </c>
      <c r="K56" t="s">
        <v>200</v>
      </c>
      <c r="L56" t="s">
        <v>522</v>
      </c>
    </row>
    <row r="57" spans="1:13">
      <c r="A57">
        <v>38368</v>
      </c>
      <c r="B57" t="s">
        <v>348</v>
      </c>
      <c r="C57" t="s">
        <v>64</v>
      </c>
      <c r="D57" t="s">
        <v>294</v>
      </c>
      <c r="E57" t="s">
        <v>64</v>
      </c>
      <c r="G57" t="s">
        <v>64</v>
      </c>
      <c r="H57" t="s">
        <v>523</v>
      </c>
      <c r="I57" t="s">
        <v>524</v>
      </c>
      <c r="J57" t="s">
        <v>525</v>
      </c>
    </row>
    <row r="58" spans="1:13">
      <c r="A58">
        <v>38580</v>
      </c>
      <c r="B58" t="s">
        <v>296</v>
      </c>
      <c r="C58" t="s">
        <v>584</v>
      </c>
      <c r="D58" t="s">
        <v>625</v>
      </c>
      <c r="E58" t="s">
        <v>658</v>
      </c>
      <c r="F58" t="s">
        <v>295</v>
      </c>
      <c r="G58" t="s">
        <v>411</v>
      </c>
      <c r="H58" t="s">
        <v>412</v>
      </c>
      <c r="I58" t="s">
        <v>413</v>
      </c>
      <c r="J58" t="s">
        <v>414</v>
      </c>
      <c r="K58" t="s">
        <v>415</v>
      </c>
      <c r="L58" t="s">
        <v>416</v>
      </c>
      <c r="M58" t="s">
        <v>417</v>
      </c>
    </row>
    <row r="59" spans="1:13">
      <c r="A59">
        <v>38653</v>
      </c>
      <c r="B59" t="s">
        <v>350</v>
      </c>
      <c r="C59" t="s">
        <v>585</v>
      </c>
      <c r="D59" t="s">
        <v>200</v>
      </c>
      <c r="E59" t="s">
        <v>659</v>
      </c>
      <c r="G59" t="s">
        <v>526</v>
      </c>
      <c r="H59" t="s">
        <v>200</v>
      </c>
      <c r="I59" t="s">
        <v>229</v>
      </c>
      <c r="J59" t="s">
        <v>527</v>
      </c>
      <c r="K59" t="s">
        <v>507</v>
      </c>
      <c r="L59" t="s">
        <v>528</v>
      </c>
    </row>
    <row r="60" spans="1:13">
      <c r="A60">
        <v>38827</v>
      </c>
      <c r="B60" t="s">
        <v>327</v>
      </c>
      <c r="C60" t="s">
        <v>326</v>
      </c>
      <c r="D60" t="s">
        <v>626</v>
      </c>
      <c r="E60" t="s">
        <v>660</v>
      </c>
      <c r="F60" t="s">
        <v>326</v>
      </c>
      <c r="G60" t="s">
        <v>36</v>
      </c>
      <c r="H60" t="s">
        <v>379</v>
      </c>
    </row>
    <row r="61" spans="1:13">
      <c r="A61">
        <v>38877</v>
      </c>
      <c r="B61" t="s">
        <v>349</v>
      </c>
      <c r="C61" t="s">
        <v>582</v>
      </c>
      <c r="D61" t="s">
        <v>627</v>
      </c>
      <c r="E61" t="s">
        <v>661</v>
      </c>
      <c r="G61" t="s">
        <v>518</v>
      </c>
      <c r="H61" t="s">
        <v>529</v>
      </c>
      <c r="I61" t="s">
        <v>154</v>
      </c>
      <c r="J61" t="s">
        <v>530</v>
      </c>
    </row>
    <row r="62" spans="1:13">
      <c r="A62">
        <v>38915</v>
      </c>
      <c r="B62" t="s">
        <v>32</v>
      </c>
      <c r="C62" t="s">
        <v>28</v>
      </c>
      <c r="D62" t="s">
        <v>391</v>
      </c>
      <c r="F62" t="s">
        <v>28</v>
      </c>
      <c r="G62" t="s">
        <v>391</v>
      </c>
    </row>
    <row r="63" spans="1:13">
      <c r="A63">
        <v>39256</v>
      </c>
      <c r="B63" t="s">
        <v>250</v>
      </c>
      <c r="C63" t="s">
        <v>253</v>
      </c>
      <c r="D63" t="s">
        <v>163</v>
      </c>
      <c r="F63" t="s">
        <v>253</v>
      </c>
    </row>
    <row r="64" spans="1:13">
      <c r="A64">
        <v>39342</v>
      </c>
      <c r="B64" t="s">
        <v>254</v>
      </c>
      <c r="C64" t="s">
        <v>586</v>
      </c>
      <c r="D64" t="s">
        <v>628</v>
      </c>
      <c r="F64" t="s">
        <v>255</v>
      </c>
      <c r="G64" t="s">
        <v>418</v>
      </c>
      <c r="H64" t="s">
        <v>340</v>
      </c>
    </row>
    <row r="65" spans="1:14">
      <c r="A65">
        <v>39369</v>
      </c>
      <c r="B65" t="s">
        <v>302</v>
      </c>
      <c r="C65" t="s">
        <v>303</v>
      </c>
      <c r="D65" t="s">
        <v>629</v>
      </c>
      <c r="F65" t="s">
        <v>303</v>
      </c>
      <c r="G65" t="s">
        <v>276</v>
      </c>
      <c r="H65" t="s">
        <v>107</v>
      </c>
      <c r="I65" t="s">
        <v>419</v>
      </c>
      <c r="J65" t="s">
        <v>420</v>
      </c>
      <c r="K65" t="s">
        <v>303</v>
      </c>
    </row>
    <row r="66" spans="1:14">
      <c r="A66">
        <v>39389</v>
      </c>
      <c r="B66" t="s">
        <v>134</v>
      </c>
      <c r="C66" t="s">
        <v>136</v>
      </c>
      <c r="D66" t="s">
        <v>630</v>
      </c>
      <c r="F66" t="s">
        <v>136</v>
      </c>
    </row>
    <row r="67" spans="1:14">
      <c r="A67">
        <v>40527</v>
      </c>
      <c r="B67" t="s">
        <v>366</v>
      </c>
      <c r="C67" t="s">
        <v>531</v>
      </c>
      <c r="D67" t="s">
        <v>631</v>
      </c>
      <c r="E67" t="s">
        <v>662</v>
      </c>
      <c r="G67" t="s">
        <v>531</v>
      </c>
      <c r="H67" t="s">
        <v>532</v>
      </c>
      <c r="I67" t="s">
        <v>533</v>
      </c>
      <c r="J67" t="s">
        <v>534</v>
      </c>
    </row>
    <row r="68" spans="1:14">
      <c r="A68">
        <v>41196</v>
      </c>
      <c r="B68" t="s">
        <v>369</v>
      </c>
      <c r="C68" t="s">
        <v>587</v>
      </c>
      <c r="D68" t="s">
        <v>449</v>
      </c>
      <c r="G68" t="s">
        <v>535</v>
      </c>
      <c r="H68" t="s">
        <v>449</v>
      </c>
      <c r="I68" t="s">
        <v>536</v>
      </c>
      <c r="J68" t="s">
        <v>537</v>
      </c>
      <c r="K68" t="s">
        <v>538</v>
      </c>
      <c r="L68" t="s">
        <v>539</v>
      </c>
      <c r="M68" t="s">
        <v>540</v>
      </c>
    </row>
    <row r="69" spans="1:14">
      <c r="A69">
        <v>41630</v>
      </c>
      <c r="B69" t="s">
        <v>344</v>
      </c>
      <c r="C69" t="s">
        <v>277</v>
      </c>
      <c r="D69" t="s">
        <v>541</v>
      </c>
      <c r="G69" t="s">
        <v>277</v>
      </c>
      <c r="H69" t="s">
        <v>541</v>
      </c>
      <c r="I69" t="s">
        <v>542</v>
      </c>
      <c r="J69" t="s">
        <v>201</v>
      </c>
    </row>
    <row r="70" spans="1:14">
      <c r="A70">
        <v>42013</v>
      </c>
      <c r="B70" t="s">
        <v>286</v>
      </c>
      <c r="C70" t="s">
        <v>588</v>
      </c>
      <c r="D70" t="s">
        <v>632</v>
      </c>
      <c r="F70" t="s">
        <v>288</v>
      </c>
      <c r="G70" t="s">
        <v>39</v>
      </c>
      <c r="H70" t="s">
        <v>228</v>
      </c>
      <c r="I70" t="s">
        <v>421</v>
      </c>
      <c r="J70" t="s">
        <v>422</v>
      </c>
      <c r="K70" t="s">
        <v>423</v>
      </c>
      <c r="L70" t="s">
        <v>424</v>
      </c>
      <c r="M70" t="s">
        <v>425</v>
      </c>
      <c r="N70" t="s">
        <v>426</v>
      </c>
    </row>
    <row r="71" spans="1:14">
      <c r="A71">
        <v>42516</v>
      </c>
      <c r="B71" t="s">
        <v>363</v>
      </c>
      <c r="C71" t="s">
        <v>232</v>
      </c>
      <c r="D71" t="s">
        <v>633</v>
      </c>
      <c r="E71" t="s">
        <v>663</v>
      </c>
      <c r="G71" t="s">
        <v>519</v>
      </c>
      <c r="H71" t="s">
        <v>543</v>
      </c>
      <c r="I71" t="s">
        <v>544</v>
      </c>
      <c r="J71" t="s">
        <v>545</v>
      </c>
      <c r="K71" t="s">
        <v>475</v>
      </c>
    </row>
    <row r="72" spans="1:14">
      <c r="A72">
        <v>43490</v>
      </c>
      <c r="B72" t="s">
        <v>367</v>
      </c>
      <c r="C72" t="s">
        <v>273</v>
      </c>
      <c r="D72" t="s">
        <v>634</v>
      </c>
      <c r="E72" t="s">
        <v>664</v>
      </c>
      <c r="G72" t="s">
        <v>273</v>
      </c>
      <c r="H72" t="s">
        <v>172</v>
      </c>
      <c r="I72" t="s">
        <v>381</v>
      </c>
      <c r="J72" t="s">
        <v>200</v>
      </c>
    </row>
    <row r="73" spans="1:14">
      <c r="A73">
        <v>43619</v>
      </c>
      <c r="B73" t="s">
        <v>304</v>
      </c>
      <c r="C73" t="s">
        <v>303</v>
      </c>
      <c r="D73" t="s">
        <v>635</v>
      </c>
      <c r="F73" t="s">
        <v>303</v>
      </c>
      <c r="G73" t="s">
        <v>176</v>
      </c>
      <c r="H73" t="s">
        <v>381</v>
      </c>
      <c r="I73" t="s">
        <v>427</v>
      </c>
    </row>
    <row r="74" spans="1:14">
      <c r="A74">
        <v>43632</v>
      </c>
      <c r="B74" t="s">
        <v>347</v>
      </c>
      <c r="C74" t="s">
        <v>589</v>
      </c>
      <c r="D74" t="s">
        <v>636</v>
      </c>
      <c r="G74" t="s">
        <v>162</v>
      </c>
      <c r="H74" t="s">
        <v>546</v>
      </c>
      <c r="I74" t="s">
        <v>394</v>
      </c>
      <c r="J74" t="s">
        <v>392</v>
      </c>
      <c r="K74" t="s">
        <v>547</v>
      </c>
    </row>
    <row r="75" spans="1:14">
      <c r="A75">
        <v>43883</v>
      </c>
      <c r="B75" t="s">
        <v>155</v>
      </c>
      <c r="C75" t="s">
        <v>154</v>
      </c>
      <c r="D75" t="s">
        <v>380</v>
      </c>
      <c r="E75" t="s">
        <v>665</v>
      </c>
      <c r="F75" t="s">
        <v>154</v>
      </c>
      <c r="G75" t="s">
        <v>392</v>
      </c>
      <c r="H75" t="s">
        <v>465</v>
      </c>
      <c r="I75" t="s">
        <v>466</v>
      </c>
      <c r="J75" t="s">
        <v>467</v>
      </c>
      <c r="K75" t="s">
        <v>468</v>
      </c>
    </row>
    <row r="76" spans="1:14">
      <c r="A76">
        <v>44441</v>
      </c>
      <c r="B76" t="s">
        <v>95</v>
      </c>
      <c r="C76" t="s">
        <v>590</v>
      </c>
      <c r="D76" t="s">
        <v>612</v>
      </c>
      <c r="F76" t="s">
        <v>94</v>
      </c>
      <c r="G76" t="s">
        <v>171</v>
      </c>
      <c r="H76" t="s">
        <v>392</v>
      </c>
      <c r="I76" t="s">
        <v>393</v>
      </c>
    </row>
    <row r="77" spans="1:14">
      <c r="A77">
        <v>44470</v>
      </c>
      <c r="B77" t="s">
        <v>206</v>
      </c>
      <c r="C77" t="s">
        <v>205</v>
      </c>
      <c r="D77" t="s">
        <v>205</v>
      </c>
      <c r="E77" t="s">
        <v>666</v>
      </c>
      <c r="F77" t="s">
        <v>205</v>
      </c>
      <c r="G77" t="s">
        <v>205</v>
      </c>
    </row>
    <row r="78" spans="1:14">
      <c r="A78">
        <v>45090</v>
      </c>
      <c r="B78" t="s">
        <v>307</v>
      </c>
      <c r="C78" t="s">
        <v>591</v>
      </c>
      <c r="D78" t="s">
        <v>637</v>
      </c>
      <c r="F78" t="s">
        <v>306</v>
      </c>
      <c r="G78" t="s">
        <v>428</v>
      </c>
      <c r="H78" t="s">
        <v>318</v>
      </c>
    </row>
    <row r="79" spans="1:14">
      <c r="A79">
        <v>47126</v>
      </c>
      <c r="B79" t="s">
        <v>221</v>
      </c>
      <c r="C79" t="s">
        <v>220</v>
      </c>
      <c r="D79" t="s">
        <v>471</v>
      </c>
      <c r="F79" t="s">
        <v>220</v>
      </c>
      <c r="G79" t="s">
        <v>469</v>
      </c>
      <c r="H79" t="s">
        <v>470</v>
      </c>
      <c r="I79" t="s">
        <v>471</v>
      </c>
      <c r="J79" t="s">
        <v>465</v>
      </c>
      <c r="K79" t="s">
        <v>201</v>
      </c>
    </row>
    <row r="80" spans="1:14">
      <c r="A80">
        <v>47805</v>
      </c>
      <c r="B80" t="s">
        <v>173</v>
      </c>
      <c r="C80" t="s">
        <v>172</v>
      </c>
      <c r="D80" t="s">
        <v>473</v>
      </c>
      <c r="F80" t="s">
        <v>172</v>
      </c>
      <c r="G80" t="s">
        <v>472</v>
      </c>
      <c r="H80" t="s">
        <v>473</v>
      </c>
      <c r="I80" t="s">
        <v>172</v>
      </c>
    </row>
    <row r="81" spans="1:19">
      <c r="A81">
        <v>48483</v>
      </c>
      <c r="B81" t="s">
        <v>83</v>
      </c>
      <c r="C81" t="s">
        <v>82</v>
      </c>
      <c r="D81" t="s">
        <v>228</v>
      </c>
      <c r="F81" t="s">
        <v>82</v>
      </c>
      <c r="G81" t="s">
        <v>228</v>
      </c>
      <c r="H81" t="s">
        <v>394</v>
      </c>
    </row>
    <row r="82" spans="1:19">
      <c r="A82">
        <v>48699</v>
      </c>
      <c r="B82" t="s">
        <v>231</v>
      </c>
      <c r="C82" t="s">
        <v>230</v>
      </c>
      <c r="D82" t="s">
        <v>634</v>
      </c>
      <c r="F82" t="s">
        <v>230</v>
      </c>
      <c r="G82" t="s">
        <v>172</v>
      </c>
    </row>
    <row r="83" spans="1:19">
      <c r="A83">
        <v>48708</v>
      </c>
      <c r="B83" t="s">
        <v>353</v>
      </c>
      <c r="C83" t="s">
        <v>230</v>
      </c>
      <c r="D83" t="s">
        <v>638</v>
      </c>
      <c r="G83" t="s">
        <v>552</v>
      </c>
      <c r="H83" t="s">
        <v>548</v>
      </c>
      <c r="I83" t="s">
        <v>549</v>
      </c>
      <c r="J83" t="s">
        <v>508</v>
      </c>
      <c r="K83" t="s">
        <v>163</v>
      </c>
      <c r="L83" t="s">
        <v>550</v>
      </c>
      <c r="M83" t="s">
        <v>551</v>
      </c>
      <c r="N83" t="s">
        <v>62</v>
      </c>
      <c r="O83" t="s">
        <v>553</v>
      </c>
      <c r="P83" t="s">
        <v>94</v>
      </c>
      <c r="Q83" t="s">
        <v>554</v>
      </c>
      <c r="R83" t="s">
        <v>228</v>
      </c>
      <c r="S83" t="s">
        <v>188</v>
      </c>
    </row>
    <row r="84" spans="1:19">
      <c r="A84">
        <v>49000</v>
      </c>
      <c r="B84" t="s">
        <v>271</v>
      </c>
      <c r="C84" t="s">
        <v>592</v>
      </c>
      <c r="D84" t="s">
        <v>429</v>
      </c>
      <c r="F84" t="s">
        <v>270</v>
      </c>
    </row>
    <row r="85" spans="1:19">
      <c r="A85">
        <v>49978</v>
      </c>
      <c r="B85" t="s">
        <v>257</v>
      </c>
      <c r="C85" t="s">
        <v>593</v>
      </c>
      <c r="D85" t="s">
        <v>639</v>
      </c>
      <c r="F85" t="s">
        <v>256</v>
      </c>
      <c r="G85" t="s">
        <v>430</v>
      </c>
      <c r="H85" t="s">
        <v>431</v>
      </c>
      <c r="I85" t="s">
        <v>432</v>
      </c>
      <c r="J85" t="s">
        <v>433</v>
      </c>
      <c r="K85" t="s">
        <v>434</v>
      </c>
      <c r="L85" t="s">
        <v>405</v>
      </c>
      <c r="M85" t="s">
        <v>435</v>
      </c>
      <c r="N85" t="s">
        <v>436</v>
      </c>
    </row>
    <row r="86" spans="1:19">
      <c r="A86">
        <v>50146</v>
      </c>
      <c r="B86" t="s">
        <v>317</v>
      </c>
      <c r="C86" t="s">
        <v>316</v>
      </c>
      <c r="D86" t="s">
        <v>640</v>
      </c>
      <c r="E86" t="s">
        <v>316</v>
      </c>
      <c r="F86" t="s">
        <v>316</v>
      </c>
      <c r="G86" t="s">
        <v>298</v>
      </c>
      <c r="H86" t="s">
        <v>318</v>
      </c>
      <c r="I86" t="s">
        <v>316</v>
      </c>
      <c r="J86" t="s">
        <v>437</v>
      </c>
      <c r="K86" t="s">
        <v>438</v>
      </c>
      <c r="L86" t="s">
        <v>439</v>
      </c>
      <c r="M86" t="s">
        <v>440</v>
      </c>
    </row>
    <row r="87" spans="1:19">
      <c r="A87">
        <v>50593</v>
      </c>
      <c r="B87" t="s">
        <v>370</v>
      </c>
      <c r="C87" t="s">
        <v>228</v>
      </c>
      <c r="D87" t="s">
        <v>641</v>
      </c>
      <c r="G87" t="s">
        <v>555</v>
      </c>
      <c r="H87" t="s">
        <v>556</v>
      </c>
      <c r="I87" t="s">
        <v>200</v>
      </c>
      <c r="J87" t="s">
        <v>557</v>
      </c>
      <c r="K87" t="s">
        <v>107</v>
      </c>
    </row>
    <row r="88" spans="1:19">
      <c r="A88">
        <v>50890</v>
      </c>
      <c r="B88" t="s">
        <v>169</v>
      </c>
      <c r="C88" t="s">
        <v>168</v>
      </c>
      <c r="D88" t="s">
        <v>475</v>
      </c>
      <c r="F88" t="s">
        <v>168</v>
      </c>
      <c r="G88" t="s">
        <v>474</v>
      </c>
      <c r="H88" t="s">
        <v>475</v>
      </c>
      <c r="I88" t="s">
        <v>476</v>
      </c>
    </row>
    <row r="89" spans="1:19">
      <c r="A89">
        <v>51101</v>
      </c>
      <c r="B89" t="s">
        <v>265</v>
      </c>
      <c r="C89" t="s">
        <v>264</v>
      </c>
      <c r="D89" t="s">
        <v>642</v>
      </c>
      <c r="F89" t="s">
        <v>264</v>
      </c>
      <c r="G89" t="s">
        <v>441</v>
      </c>
      <c r="H89" t="s">
        <v>442</v>
      </c>
      <c r="I89" t="s">
        <v>340</v>
      </c>
    </row>
    <row r="90" spans="1:19">
      <c r="A90">
        <v>51420</v>
      </c>
      <c r="B90" t="s">
        <v>78</v>
      </c>
      <c r="C90" t="s">
        <v>77</v>
      </c>
      <c r="D90" t="s">
        <v>643</v>
      </c>
      <c r="E90" t="s">
        <v>77</v>
      </c>
      <c r="F90" t="s">
        <v>77</v>
      </c>
    </row>
    <row r="91" spans="1:19">
      <c r="A91">
        <v>51718</v>
      </c>
      <c r="B91" t="s">
        <v>203</v>
      </c>
      <c r="C91" t="s">
        <v>202</v>
      </c>
      <c r="D91" t="s">
        <v>477</v>
      </c>
      <c r="F91" t="s">
        <v>202</v>
      </c>
      <c r="G91" t="s">
        <v>477</v>
      </c>
      <c r="H91" t="s">
        <v>478</v>
      </c>
    </row>
    <row r="92" spans="1:19">
      <c r="A92">
        <v>52058</v>
      </c>
      <c r="B92" t="s">
        <v>180</v>
      </c>
      <c r="C92" t="s">
        <v>594</v>
      </c>
      <c r="D92" t="s">
        <v>301</v>
      </c>
      <c r="E92" t="s">
        <v>648</v>
      </c>
      <c r="F92" t="s">
        <v>182</v>
      </c>
      <c r="G92" t="s">
        <v>301</v>
      </c>
      <c r="H92" t="s">
        <v>479</v>
      </c>
    </row>
    <row r="93" spans="1:19">
      <c r="A93">
        <v>52327</v>
      </c>
      <c r="B93" t="s">
        <v>247</v>
      </c>
      <c r="C93" t="s">
        <v>595</v>
      </c>
      <c r="D93" t="s">
        <v>644</v>
      </c>
      <c r="F93" t="s">
        <v>249</v>
      </c>
      <c r="G93" t="s">
        <v>443</v>
      </c>
      <c r="H93" t="s">
        <v>284</v>
      </c>
      <c r="I93" t="s">
        <v>444</v>
      </c>
      <c r="J93" t="s">
        <v>445</v>
      </c>
      <c r="K93" t="s">
        <v>94</v>
      </c>
      <c r="L93" t="s">
        <v>480</v>
      </c>
    </row>
    <row r="94" spans="1:19">
      <c r="A94">
        <v>52432</v>
      </c>
      <c r="B94" t="s">
        <v>359</v>
      </c>
      <c r="C94" t="s">
        <v>596</v>
      </c>
      <c r="D94" t="s">
        <v>559</v>
      </c>
      <c r="E94" t="s">
        <v>667</v>
      </c>
      <c r="G94" t="s">
        <v>259</v>
      </c>
      <c r="H94" t="s">
        <v>558</v>
      </c>
      <c r="I94" t="s">
        <v>259</v>
      </c>
      <c r="J94" t="s">
        <v>559</v>
      </c>
      <c r="K94" t="s">
        <v>560</v>
      </c>
    </row>
    <row r="95" spans="1:19">
      <c r="A95">
        <v>52733</v>
      </c>
      <c r="B95" t="s">
        <v>52</v>
      </c>
      <c r="C95" t="s">
        <v>597</v>
      </c>
      <c r="D95" t="s">
        <v>645</v>
      </c>
      <c r="F95" t="s">
        <v>48</v>
      </c>
      <c r="G95" t="s">
        <v>395</v>
      </c>
      <c r="H95" t="s">
        <v>396</v>
      </c>
      <c r="I95" t="s">
        <v>397</v>
      </c>
    </row>
    <row r="96" spans="1:19">
      <c r="A96">
        <v>53347</v>
      </c>
      <c r="B96" t="s">
        <v>355</v>
      </c>
      <c r="C96" t="s">
        <v>598</v>
      </c>
      <c r="D96" t="s">
        <v>646</v>
      </c>
      <c r="G96" t="s">
        <v>561</v>
      </c>
      <c r="H96" t="s">
        <v>562</v>
      </c>
      <c r="I96" t="s">
        <v>188</v>
      </c>
    </row>
    <row r="97" spans="1:11">
      <c r="A97">
        <v>53572</v>
      </c>
      <c r="B97" t="s">
        <v>262</v>
      </c>
      <c r="C97" t="s">
        <v>599</v>
      </c>
      <c r="D97" t="s">
        <v>36</v>
      </c>
      <c r="F97" t="s">
        <v>261</v>
      </c>
      <c r="G97" t="s">
        <v>36</v>
      </c>
      <c r="H97" t="s">
        <v>448</v>
      </c>
      <c r="I97" t="s">
        <v>446</v>
      </c>
      <c r="J97" t="s">
        <v>447</v>
      </c>
    </row>
    <row r="98" spans="1:11">
      <c r="A98">
        <v>54076</v>
      </c>
      <c r="B98" t="s">
        <v>343</v>
      </c>
      <c r="C98" t="s">
        <v>293</v>
      </c>
      <c r="D98" t="s">
        <v>647</v>
      </c>
      <c r="G98" t="s">
        <v>293</v>
      </c>
      <c r="H98" t="s">
        <v>563</v>
      </c>
      <c r="I98" t="s">
        <v>267</v>
      </c>
      <c r="J98" t="s">
        <v>564</v>
      </c>
      <c r="K98" t="s">
        <v>565</v>
      </c>
    </row>
    <row r="99" spans="1:11">
      <c r="A99">
        <v>55450</v>
      </c>
      <c r="B99" t="s">
        <v>360</v>
      </c>
      <c r="C99" t="s">
        <v>133</v>
      </c>
      <c r="D99" t="s">
        <v>648</v>
      </c>
      <c r="E99" t="s">
        <v>668</v>
      </c>
      <c r="G99" t="s">
        <v>133</v>
      </c>
      <c r="H99" t="s">
        <v>566</v>
      </c>
      <c r="I99" t="s">
        <v>567</v>
      </c>
      <c r="J99" t="s">
        <v>568</v>
      </c>
      <c r="K99" t="s">
        <v>569</v>
      </c>
    </row>
    <row r="100" spans="1:11">
      <c r="A100">
        <v>68739</v>
      </c>
      <c r="B100" t="s">
        <v>213</v>
      </c>
      <c r="C100" t="s">
        <v>212</v>
      </c>
      <c r="F100" t="s">
        <v>212</v>
      </c>
      <c r="G100" t="s">
        <v>481</v>
      </c>
    </row>
    <row r="101" spans="1:11">
      <c r="A101">
        <v>90313</v>
      </c>
      <c r="B101" t="s">
        <v>312</v>
      </c>
      <c r="C101" t="s">
        <v>311</v>
      </c>
      <c r="D101" t="s">
        <v>449</v>
      </c>
      <c r="F101" t="s">
        <v>311</v>
      </c>
      <c r="G101" t="s">
        <v>449</v>
      </c>
      <c r="H101" t="s">
        <v>450</v>
      </c>
    </row>
  </sheetData>
  <sortState ref="A2:Y101">
    <sortCondition ref="A2:A101"/>
  </sortState>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C611"/>
  <sheetViews>
    <sheetView workbookViewId="0">
      <selection activeCell="C1" sqref="C1"/>
    </sheetView>
  </sheetViews>
  <sheetFormatPr baseColWidth="10" defaultColWidth="8.83203125" defaultRowHeight="14" x14ac:dyDescent="0"/>
  <sheetData>
    <row r="1" spans="1:3">
      <c r="A1" t="s">
        <v>675</v>
      </c>
      <c r="B1" t="s">
        <v>0</v>
      </c>
      <c r="C1" t="s">
        <v>672</v>
      </c>
    </row>
    <row r="2" spans="1:3">
      <c r="A2">
        <v>1</v>
      </c>
      <c r="B2">
        <v>30021</v>
      </c>
      <c r="C2" t="s">
        <v>235</v>
      </c>
    </row>
    <row r="3" spans="1:3">
      <c r="A3">
        <v>1</v>
      </c>
      <c r="B3">
        <v>30021</v>
      </c>
      <c r="C3" t="s">
        <v>242</v>
      </c>
    </row>
    <row r="4" spans="1:3">
      <c r="A4">
        <v>1</v>
      </c>
      <c r="B4">
        <v>30037</v>
      </c>
      <c r="C4" t="s">
        <v>104</v>
      </c>
    </row>
    <row r="5" spans="1:3">
      <c r="A5">
        <v>1</v>
      </c>
      <c r="B5">
        <v>30037</v>
      </c>
      <c r="C5" t="s">
        <v>104</v>
      </c>
    </row>
    <row r="6" spans="1:3">
      <c r="A6">
        <v>1</v>
      </c>
      <c r="B6">
        <v>30056</v>
      </c>
      <c r="C6" t="s">
        <v>603</v>
      </c>
    </row>
    <row r="7" spans="1:3">
      <c r="A7">
        <v>1</v>
      </c>
      <c r="B7">
        <v>30056</v>
      </c>
      <c r="C7" t="s">
        <v>310</v>
      </c>
    </row>
    <row r="8" spans="1:3">
      <c r="A8">
        <v>1</v>
      </c>
      <c r="B8">
        <v>30061</v>
      </c>
      <c r="C8" t="s">
        <v>139</v>
      </c>
    </row>
    <row r="9" spans="1:3">
      <c r="A9">
        <v>1</v>
      </c>
      <c r="B9">
        <v>30100</v>
      </c>
      <c r="C9" t="s">
        <v>66</v>
      </c>
    </row>
    <row r="10" spans="1:3">
      <c r="A10">
        <v>1</v>
      </c>
      <c r="B10">
        <v>30192</v>
      </c>
      <c r="C10" t="s">
        <v>337</v>
      </c>
    </row>
    <row r="11" spans="1:3">
      <c r="A11">
        <v>1</v>
      </c>
      <c r="B11">
        <v>30222</v>
      </c>
      <c r="C11" t="s">
        <v>571</v>
      </c>
    </row>
    <row r="12" spans="1:3">
      <c r="A12">
        <v>1</v>
      </c>
      <c r="B12">
        <v>30341</v>
      </c>
      <c r="C12" t="s">
        <v>116</v>
      </c>
    </row>
    <row r="13" spans="1:3">
      <c r="A13">
        <v>1</v>
      </c>
      <c r="B13">
        <v>30341</v>
      </c>
      <c r="C13" t="s">
        <v>116</v>
      </c>
    </row>
    <row r="14" spans="1:3">
      <c r="A14">
        <v>1</v>
      </c>
      <c r="B14">
        <v>30341</v>
      </c>
      <c r="C14" t="s">
        <v>190</v>
      </c>
    </row>
    <row r="15" spans="1:3">
      <c r="A15">
        <v>1</v>
      </c>
      <c r="B15">
        <v>30364</v>
      </c>
      <c r="C15" t="s">
        <v>189</v>
      </c>
    </row>
    <row r="16" spans="1:3">
      <c r="A16">
        <v>1</v>
      </c>
      <c r="B16">
        <v>30364</v>
      </c>
      <c r="C16" t="s">
        <v>318</v>
      </c>
    </row>
    <row r="17" spans="1:3">
      <c r="A17">
        <v>1</v>
      </c>
      <c r="B17">
        <v>30422</v>
      </c>
      <c r="C17" t="s">
        <v>164</v>
      </c>
    </row>
    <row r="18" spans="1:3">
      <c r="A18">
        <v>1</v>
      </c>
      <c r="B18">
        <v>30442</v>
      </c>
      <c r="C18" t="s">
        <v>242</v>
      </c>
    </row>
    <row r="19" spans="1:3">
      <c r="A19">
        <v>1</v>
      </c>
      <c r="B19">
        <v>30651</v>
      </c>
      <c r="C19" t="s">
        <v>652</v>
      </c>
    </row>
    <row r="20" spans="1:3">
      <c r="A20">
        <v>1</v>
      </c>
      <c r="B20">
        <v>30651</v>
      </c>
      <c r="C20" t="s">
        <v>158</v>
      </c>
    </row>
    <row r="21" spans="1:3">
      <c r="A21">
        <v>1</v>
      </c>
      <c r="B21">
        <v>30651</v>
      </c>
      <c r="C21" t="s">
        <v>453</v>
      </c>
    </row>
    <row r="22" spans="1:3">
      <c r="A22">
        <v>1</v>
      </c>
      <c r="B22">
        <v>30701</v>
      </c>
      <c r="C22" t="s">
        <v>235</v>
      </c>
    </row>
    <row r="23" spans="1:3">
      <c r="A23">
        <v>1</v>
      </c>
      <c r="B23">
        <v>30758</v>
      </c>
      <c r="C23" t="s">
        <v>139</v>
      </c>
    </row>
    <row r="24" spans="1:3">
      <c r="A24">
        <v>1</v>
      </c>
      <c r="B24">
        <v>30794</v>
      </c>
      <c r="C24" t="s">
        <v>38</v>
      </c>
    </row>
    <row r="25" spans="1:3">
      <c r="A25">
        <v>1</v>
      </c>
      <c r="B25">
        <v>30794</v>
      </c>
      <c r="C25" t="s">
        <v>482</v>
      </c>
    </row>
    <row r="26" spans="1:3">
      <c r="A26">
        <v>1</v>
      </c>
      <c r="B26">
        <v>30932</v>
      </c>
      <c r="C26" t="s">
        <v>607</v>
      </c>
    </row>
    <row r="27" spans="1:3">
      <c r="A27">
        <v>1</v>
      </c>
      <c r="B27">
        <v>30951</v>
      </c>
      <c r="C27" t="s">
        <v>653</v>
      </c>
    </row>
    <row r="28" spans="1:3">
      <c r="A28">
        <v>1</v>
      </c>
      <c r="B28">
        <v>30951</v>
      </c>
      <c r="C28" t="s">
        <v>289</v>
      </c>
    </row>
    <row r="29" spans="1:3">
      <c r="A29">
        <v>1</v>
      </c>
      <c r="B29">
        <v>30953</v>
      </c>
      <c r="C29" t="s">
        <v>289</v>
      </c>
    </row>
    <row r="30" spans="1:3">
      <c r="A30">
        <v>1</v>
      </c>
      <c r="B30">
        <v>30972</v>
      </c>
      <c r="C30" t="s">
        <v>609</v>
      </c>
    </row>
    <row r="31" spans="1:3">
      <c r="A31">
        <v>1</v>
      </c>
      <c r="B31">
        <v>31078</v>
      </c>
      <c r="C31" t="s">
        <v>242</v>
      </c>
    </row>
    <row r="32" spans="1:3">
      <c r="A32">
        <v>1</v>
      </c>
      <c r="B32">
        <v>31202</v>
      </c>
      <c r="C32" t="s">
        <v>219</v>
      </c>
    </row>
    <row r="33" spans="1:3">
      <c r="A33">
        <v>1</v>
      </c>
      <c r="B33">
        <v>31202</v>
      </c>
      <c r="C33" t="s">
        <v>431</v>
      </c>
    </row>
    <row r="34" spans="1:3">
      <c r="A34">
        <v>1</v>
      </c>
      <c r="B34">
        <v>31234</v>
      </c>
      <c r="C34" t="s">
        <v>490</v>
      </c>
    </row>
    <row r="35" spans="1:3">
      <c r="A35">
        <v>1</v>
      </c>
      <c r="B35">
        <v>31234</v>
      </c>
      <c r="C35" t="s">
        <v>328</v>
      </c>
    </row>
    <row r="36" spans="1:3">
      <c r="A36">
        <v>1</v>
      </c>
      <c r="B36">
        <v>31272</v>
      </c>
      <c r="C36" t="s">
        <v>39</v>
      </c>
    </row>
    <row r="37" spans="1:3">
      <c r="A37">
        <v>1</v>
      </c>
      <c r="B37">
        <v>31272</v>
      </c>
      <c r="C37" t="s">
        <v>39</v>
      </c>
    </row>
    <row r="38" spans="1:3">
      <c r="A38">
        <v>1</v>
      </c>
      <c r="B38">
        <v>31272</v>
      </c>
      <c r="C38" t="s">
        <v>380</v>
      </c>
    </row>
    <row r="39" spans="1:3">
      <c r="A39">
        <v>1</v>
      </c>
      <c r="B39">
        <v>31481</v>
      </c>
      <c r="C39" t="s">
        <v>398</v>
      </c>
    </row>
    <row r="40" spans="1:3">
      <c r="A40">
        <v>1</v>
      </c>
      <c r="B40">
        <v>31481</v>
      </c>
      <c r="C40" t="s">
        <v>329</v>
      </c>
    </row>
    <row r="41" spans="1:3">
      <c r="A41">
        <v>1</v>
      </c>
      <c r="B41">
        <v>31495</v>
      </c>
      <c r="C41" t="s">
        <v>491</v>
      </c>
    </row>
    <row r="42" spans="1:3">
      <c r="A42">
        <v>1</v>
      </c>
      <c r="B42">
        <v>32009</v>
      </c>
      <c r="C42" t="s">
        <v>654</v>
      </c>
    </row>
    <row r="43" spans="1:3">
      <c r="A43">
        <v>1</v>
      </c>
      <c r="B43">
        <v>32009</v>
      </c>
      <c r="C43" t="s">
        <v>183</v>
      </c>
    </row>
    <row r="44" spans="1:3">
      <c r="A44">
        <v>1</v>
      </c>
      <c r="B44">
        <v>32444</v>
      </c>
      <c r="C44" t="s">
        <v>234</v>
      </c>
    </row>
    <row r="45" spans="1:3">
      <c r="A45">
        <v>1</v>
      </c>
      <c r="B45">
        <v>32444</v>
      </c>
      <c r="C45" t="s">
        <v>431</v>
      </c>
    </row>
    <row r="46" spans="1:3">
      <c r="A46">
        <v>1</v>
      </c>
      <c r="B46">
        <v>32896</v>
      </c>
      <c r="C46" t="s">
        <v>217</v>
      </c>
    </row>
    <row r="47" spans="1:3">
      <c r="A47">
        <v>1</v>
      </c>
      <c r="B47">
        <v>32896</v>
      </c>
      <c r="C47" t="s">
        <v>477</v>
      </c>
    </row>
    <row r="48" spans="1:3">
      <c r="A48">
        <v>1</v>
      </c>
      <c r="B48">
        <v>32937</v>
      </c>
      <c r="C48" t="s">
        <v>497</v>
      </c>
    </row>
    <row r="49" spans="1:3">
      <c r="A49">
        <v>1</v>
      </c>
      <c r="B49">
        <v>32986</v>
      </c>
      <c r="C49" t="s">
        <v>508</v>
      </c>
    </row>
    <row r="50" spans="1:3">
      <c r="A50">
        <v>1</v>
      </c>
      <c r="B50">
        <v>32986</v>
      </c>
      <c r="C50" t="s">
        <v>322</v>
      </c>
    </row>
    <row r="51" spans="1:3">
      <c r="A51">
        <v>1</v>
      </c>
      <c r="B51">
        <v>33130</v>
      </c>
      <c r="C51" t="s">
        <v>113</v>
      </c>
    </row>
    <row r="52" spans="1:3">
      <c r="A52">
        <v>1</v>
      </c>
      <c r="B52">
        <v>33177</v>
      </c>
      <c r="C52" t="s">
        <v>577</v>
      </c>
    </row>
    <row r="53" spans="1:3">
      <c r="A53">
        <v>1</v>
      </c>
      <c r="B53">
        <v>33422</v>
      </c>
      <c r="C53" t="s">
        <v>99</v>
      </c>
    </row>
    <row r="54" spans="1:3">
      <c r="A54">
        <v>1</v>
      </c>
      <c r="B54">
        <v>33422</v>
      </c>
      <c r="C54" t="s">
        <v>381</v>
      </c>
    </row>
    <row r="55" spans="1:3">
      <c r="A55">
        <v>1</v>
      </c>
      <c r="B55">
        <v>33436</v>
      </c>
      <c r="C55" t="s">
        <v>505</v>
      </c>
    </row>
    <row r="56" spans="1:3">
      <c r="A56">
        <v>1</v>
      </c>
      <c r="B56">
        <v>33436</v>
      </c>
      <c r="C56" t="s">
        <v>613</v>
      </c>
    </row>
    <row r="57" spans="1:3">
      <c r="A57">
        <v>1</v>
      </c>
      <c r="B57">
        <v>33436</v>
      </c>
      <c r="C57" t="s">
        <v>655</v>
      </c>
    </row>
    <row r="58" spans="1:3">
      <c r="A58">
        <v>1</v>
      </c>
      <c r="B58">
        <v>33824</v>
      </c>
      <c r="C58" t="s">
        <v>580</v>
      </c>
    </row>
    <row r="59" spans="1:3">
      <c r="A59">
        <v>1</v>
      </c>
      <c r="B59">
        <v>34545</v>
      </c>
      <c r="C59" t="s">
        <v>209</v>
      </c>
    </row>
    <row r="60" spans="1:3">
      <c r="A60">
        <v>1</v>
      </c>
      <c r="B60">
        <v>34938</v>
      </c>
      <c r="C60" t="s">
        <v>281</v>
      </c>
    </row>
    <row r="61" spans="1:3">
      <c r="A61">
        <v>1</v>
      </c>
      <c r="B61">
        <v>35307</v>
      </c>
      <c r="C61" t="s">
        <v>656</v>
      </c>
    </row>
    <row r="62" spans="1:3">
      <c r="A62">
        <v>1</v>
      </c>
      <c r="B62">
        <v>35307</v>
      </c>
      <c r="C62" t="s">
        <v>459</v>
      </c>
    </row>
    <row r="63" spans="1:3">
      <c r="A63">
        <v>1</v>
      </c>
      <c r="B63">
        <v>35307</v>
      </c>
      <c r="C63" t="s">
        <v>215</v>
      </c>
    </row>
    <row r="64" spans="1:3">
      <c r="A64">
        <v>1</v>
      </c>
      <c r="B64">
        <v>35307</v>
      </c>
      <c r="C64" t="s">
        <v>458</v>
      </c>
    </row>
    <row r="65" spans="1:3">
      <c r="A65">
        <v>1</v>
      </c>
      <c r="B65">
        <v>35436</v>
      </c>
      <c r="C65" t="s">
        <v>144</v>
      </c>
    </row>
    <row r="66" spans="1:3">
      <c r="A66">
        <v>1</v>
      </c>
      <c r="B66">
        <v>35483</v>
      </c>
      <c r="C66" t="s">
        <v>148</v>
      </c>
    </row>
    <row r="67" spans="1:3">
      <c r="A67">
        <v>1</v>
      </c>
      <c r="B67">
        <v>35483</v>
      </c>
      <c r="C67" t="s">
        <v>387</v>
      </c>
    </row>
    <row r="68" spans="1:3">
      <c r="A68">
        <v>1</v>
      </c>
      <c r="B68">
        <v>35505</v>
      </c>
      <c r="C68" t="s">
        <v>150</v>
      </c>
    </row>
    <row r="69" spans="1:3">
      <c r="A69">
        <v>1</v>
      </c>
      <c r="B69">
        <v>35505</v>
      </c>
      <c r="C69" t="s">
        <v>617</v>
      </c>
    </row>
    <row r="70" spans="1:3">
      <c r="A70">
        <v>1</v>
      </c>
      <c r="B70">
        <v>35698</v>
      </c>
      <c r="C70" t="s">
        <v>405</v>
      </c>
    </row>
    <row r="71" spans="1:3">
      <c r="A71">
        <v>1</v>
      </c>
      <c r="B71">
        <v>35698</v>
      </c>
      <c r="C71" t="s">
        <v>335</v>
      </c>
    </row>
    <row r="72" spans="1:3">
      <c r="A72">
        <v>1</v>
      </c>
      <c r="B72">
        <v>35783</v>
      </c>
      <c r="C72" t="s">
        <v>194</v>
      </c>
    </row>
    <row r="73" spans="1:3">
      <c r="A73">
        <v>1</v>
      </c>
      <c r="B73">
        <v>36058</v>
      </c>
      <c r="C73" t="s">
        <v>620</v>
      </c>
    </row>
    <row r="74" spans="1:3">
      <c r="A74">
        <v>1</v>
      </c>
      <c r="B74">
        <v>36058</v>
      </c>
      <c r="C74" t="s">
        <v>512</v>
      </c>
    </row>
    <row r="75" spans="1:3">
      <c r="A75">
        <v>1</v>
      </c>
      <c r="B75">
        <v>36101</v>
      </c>
      <c r="C75" t="s">
        <v>108</v>
      </c>
    </row>
    <row r="76" spans="1:3">
      <c r="A76">
        <v>1</v>
      </c>
      <c r="B76">
        <v>36101</v>
      </c>
      <c r="C76" t="s">
        <v>108</v>
      </c>
    </row>
    <row r="77" spans="1:3">
      <c r="A77">
        <v>1</v>
      </c>
      <c r="B77">
        <v>36101</v>
      </c>
      <c r="C77" t="s">
        <v>513</v>
      </c>
    </row>
    <row r="78" spans="1:3">
      <c r="A78">
        <v>1</v>
      </c>
      <c r="B78">
        <v>36130</v>
      </c>
      <c r="C78" t="s">
        <v>621</v>
      </c>
    </row>
    <row r="79" spans="1:3">
      <c r="A79">
        <v>1</v>
      </c>
      <c r="B79">
        <v>36130</v>
      </c>
      <c r="C79" t="s">
        <v>326</v>
      </c>
    </row>
    <row r="80" spans="1:3">
      <c r="A80">
        <v>1</v>
      </c>
      <c r="B80">
        <v>36238</v>
      </c>
      <c r="C80" t="s">
        <v>28</v>
      </c>
    </row>
    <row r="81" spans="1:3">
      <c r="A81">
        <v>1</v>
      </c>
      <c r="B81">
        <v>36238</v>
      </c>
      <c r="C81" t="s">
        <v>622</v>
      </c>
    </row>
    <row r="82" spans="1:3">
      <c r="A82">
        <v>1</v>
      </c>
      <c r="B82">
        <v>36238</v>
      </c>
      <c r="C82" t="s">
        <v>657</v>
      </c>
    </row>
    <row r="83" spans="1:3">
      <c r="A83">
        <v>1</v>
      </c>
      <c r="B83">
        <v>36302</v>
      </c>
      <c r="C83" t="s">
        <v>200</v>
      </c>
    </row>
    <row r="84" spans="1:3">
      <c r="A84">
        <v>1</v>
      </c>
      <c r="B84">
        <v>36302</v>
      </c>
      <c r="C84" t="s">
        <v>315</v>
      </c>
    </row>
    <row r="85" spans="1:3">
      <c r="A85">
        <v>1</v>
      </c>
      <c r="B85">
        <v>36793</v>
      </c>
      <c r="C85" t="s">
        <v>388</v>
      </c>
    </row>
    <row r="86" spans="1:3">
      <c r="A86">
        <v>1</v>
      </c>
      <c r="B86">
        <v>36793</v>
      </c>
      <c r="C86" t="s">
        <v>123</v>
      </c>
    </row>
    <row r="87" spans="1:3">
      <c r="A87">
        <v>1</v>
      </c>
      <c r="B87">
        <v>37054</v>
      </c>
      <c r="C87" t="s">
        <v>465</v>
      </c>
    </row>
    <row r="88" spans="1:3">
      <c r="A88">
        <v>1</v>
      </c>
      <c r="B88">
        <v>37054</v>
      </c>
      <c r="C88" t="s">
        <v>582</v>
      </c>
    </row>
    <row r="89" spans="1:3">
      <c r="A89">
        <v>1</v>
      </c>
      <c r="B89">
        <v>37314</v>
      </c>
      <c r="C89" t="s">
        <v>123</v>
      </c>
    </row>
    <row r="90" spans="1:3">
      <c r="A90">
        <v>1</v>
      </c>
      <c r="B90">
        <v>37314</v>
      </c>
      <c r="C90" t="s">
        <v>123</v>
      </c>
    </row>
    <row r="91" spans="1:3">
      <c r="A91">
        <v>1</v>
      </c>
      <c r="B91">
        <v>37347</v>
      </c>
      <c r="C91" t="s">
        <v>148</v>
      </c>
    </row>
    <row r="92" spans="1:3">
      <c r="A92">
        <v>1</v>
      </c>
      <c r="B92">
        <v>37347</v>
      </c>
      <c r="C92" t="s">
        <v>389</v>
      </c>
    </row>
    <row r="93" spans="1:3">
      <c r="A93">
        <v>1</v>
      </c>
      <c r="B93">
        <v>37577</v>
      </c>
      <c r="C93" t="s">
        <v>186</v>
      </c>
    </row>
    <row r="94" spans="1:3">
      <c r="A94">
        <v>1</v>
      </c>
      <c r="B94">
        <v>37577</v>
      </c>
      <c r="C94" t="s">
        <v>320</v>
      </c>
    </row>
    <row r="95" spans="1:3">
      <c r="A95">
        <v>1</v>
      </c>
      <c r="B95">
        <v>37623</v>
      </c>
      <c r="C95" t="s">
        <v>108</v>
      </c>
    </row>
    <row r="96" spans="1:3">
      <c r="A96">
        <v>1</v>
      </c>
      <c r="B96">
        <v>37623</v>
      </c>
      <c r="C96" t="s">
        <v>318</v>
      </c>
    </row>
    <row r="97" spans="1:3">
      <c r="A97">
        <v>1</v>
      </c>
      <c r="B97">
        <v>38326</v>
      </c>
      <c r="C97" t="s">
        <v>373</v>
      </c>
    </row>
    <row r="98" spans="1:3">
      <c r="A98">
        <v>1</v>
      </c>
      <c r="B98">
        <v>38326</v>
      </c>
      <c r="C98" t="s">
        <v>138</v>
      </c>
    </row>
    <row r="99" spans="1:3">
      <c r="A99">
        <v>1</v>
      </c>
      <c r="B99">
        <v>38326</v>
      </c>
      <c r="C99" t="s">
        <v>583</v>
      </c>
    </row>
    <row r="100" spans="1:3">
      <c r="A100">
        <v>1</v>
      </c>
      <c r="B100">
        <v>38368</v>
      </c>
      <c r="C100" t="s">
        <v>64</v>
      </c>
    </row>
    <row r="101" spans="1:3">
      <c r="A101">
        <v>1</v>
      </c>
      <c r="B101">
        <v>38368</v>
      </c>
      <c r="C101" t="s">
        <v>64</v>
      </c>
    </row>
    <row r="102" spans="1:3">
      <c r="A102">
        <v>1</v>
      </c>
      <c r="B102">
        <v>38368</v>
      </c>
      <c r="C102" t="s">
        <v>523</v>
      </c>
    </row>
    <row r="103" spans="1:3">
      <c r="A103">
        <v>1</v>
      </c>
      <c r="B103">
        <v>38580</v>
      </c>
      <c r="C103" t="s">
        <v>658</v>
      </c>
    </row>
    <row r="104" spans="1:3">
      <c r="A104">
        <v>1</v>
      </c>
      <c r="B104">
        <v>38580</v>
      </c>
      <c r="C104" t="s">
        <v>295</v>
      </c>
    </row>
    <row r="105" spans="1:3">
      <c r="A105">
        <v>1</v>
      </c>
      <c r="B105">
        <v>38580</v>
      </c>
      <c r="C105" t="s">
        <v>584</v>
      </c>
    </row>
    <row r="106" spans="1:3">
      <c r="A106">
        <v>1</v>
      </c>
      <c r="B106">
        <v>38653</v>
      </c>
      <c r="C106" t="s">
        <v>200</v>
      </c>
    </row>
    <row r="107" spans="1:3">
      <c r="A107">
        <v>1</v>
      </c>
      <c r="B107">
        <v>38653</v>
      </c>
      <c r="C107" t="s">
        <v>659</v>
      </c>
    </row>
    <row r="108" spans="1:3">
      <c r="A108">
        <v>1</v>
      </c>
      <c r="B108">
        <v>38653</v>
      </c>
      <c r="C108" t="s">
        <v>585</v>
      </c>
    </row>
    <row r="109" spans="1:3">
      <c r="A109">
        <v>1</v>
      </c>
      <c r="B109">
        <v>38827</v>
      </c>
      <c r="C109" t="s">
        <v>660</v>
      </c>
    </row>
    <row r="110" spans="1:3">
      <c r="A110">
        <v>1</v>
      </c>
      <c r="B110">
        <v>38827</v>
      </c>
      <c r="C110" t="s">
        <v>379</v>
      </c>
    </row>
    <row r="111" spans="1:3">
      <c r="A111">
        <v>1</v>
      </c>
      <c r="B111">
        <v>38827</v>
      </c>
      <c r="C111" t="s">
        <v>326</v>
      </c>
    </row>
    <row r="112" spans="1:3">
      <c r="A112">
        <v>1</v>
      </c>
      <c r="B112">
        <v>38877</v>
      </c>
      <c r="C112" t="s">
        <v>661</v>
      </c>
    </row>
    <row r="113" spans="1:3">
      <c r="A113">
        <v>1</v>
      </c>
      <c r="B113">
        <v>38877</v>
      </c>
      <c r="C113" t="s">
        <v>582</v>
      </c>
    </row>
    <row r="114" spans="1:3">
      <c r="A114">
        <v>1</v>
      </c>
      <c r="B114">
        <v>38877</v>
      </c>
      <c r="C114" t="s">
        <v>627</v>
      </c>
    </row>
    <row r="115" spans="1:3">
      <c r="A115">
        <v>1</v>
      </c>
      <c r="B115">
        <v>38915</v>
      </c>
      <c r="C115" t="s">
        <v>28</v>
      </c>
    </row>
    <row r="116" spans="1:3">
      <c r="A116">
        <v>1</v>
      </c>
      <c r="B116">
        <v>38915</v>
      </c>
      <c r="C116" t="s">
        <v>391</v>
      </c>
    </row>
    <row r="117" spans="1:3">
      <c r="A117">
        <v>1</v>
      </c>
      <c r="B117">
        <v>39256</v>
      </c>
      <c r="C117" t="s">
        <v>253</v>
      </c>
    </row>
    <row r="118" spans="1:3">
      <c r="A118">
        <v>1</v>
      </c>
      <c r="B118">
        <v>39342</v>
      </c>
      <c r="C118" t="s">
        <v>418</v>
      </c>
    </row>
    <row r="119" spans="1:3">
      <c r="A119">
        <v>1</v>
      </c>
      <c r="B119">
        <v>39342</v>
      </c>
      <c r="C119" t="s">
        <v>586</v>
      </c>
    </row>
    <row r="120" spans="1:3">
      <c r="A120">
        <v>1</v>
      </c>
      <c r="B120">
        <v>39369</v>
      </c>
      <c r="C120" t="s">
        <v>629</v>
      </c>
    </row>
    <row r="121" spans="1:3">
      <c r="A121">
        <v>1</v>
      </c>
      <c r="B121">
        <v>39369</v>
      </c>
      <c r="C121" t="s">
        <v>303</v>
      </c>
    </row>
    <row r="122" spans="1:3">
      <c r="A122">
        <v>1</v>
      </c>
      <c r="B122">
        <v>39369</v>
      </c>
      <c r="C122" t="s">
        <v>303</v>
      </c>
    </row>
    <row r="123" spans="1:3">
      <c r="A123">
        <v>1</v>
      </c>
      <c r="B123">
        <v>39389</v>
      </c>
      <c r="C123" t="s">
        <v>136</v>
      </c>
    </row>
    <row r="124" spans="1:3">
      <c r="A124">
        <v>1</v>
      </c>
      <c r="B124">
        <v>40527</v>
      </c>
      <c r="C124" t="s">
        <v>631</v>
      </c>
    </row>
    <row r="125" spans="1:3">
      <c r="A125">
        <v>1</v>
      </c>
      <c r="B125">
        <v>40527</v>
      </c>
      <c r="C125" t="s">
        <v>662</v>
      </c>
    </row>
    <row r="126" spans="1:3">
      <c r="A126">
        <v>1</v>
      </c>
      <c r="B126">
        <v>40527</v>
      </c>
      <c r="C126" t="s">
        <v>531</v>
      </c>
    </row>
    <row r="127" spans="1:3">
      <c r="A127">
        <v>1</v>
      </c>
      <c r="B127">
        <v>41196</v>
      </c>
      <c r="C127" t="s">
        <v>535</v>
      </c>
    </row>
    <row r="128" spans="1:3">
      <c r="A128">
        <v>1</v>
      </c>
      <c r="B128">
        <v>41196</v>
      </c>
      <c r="C128" t="s">
        <v>449</v>
      </c>
    </row>
    <row r="129" spans="1:3">
      <c r="A129">
        <v>1</v>
      </c>
      <c r="B129">
        <v>41630</v>
      </c>
      <c r="C129" t="s">
        <v>277</v>
      </c>
    </row>
    <row r="130" spans="1:3">
      <c r="A130">
        <v>1</v>
      </c>
      <c r="B130">
        <v>41630</v>
      </c>
      <c r="C130" t="s">
        <v>541</v>
      </c>
    </row>
    <row r="131" spans="1:3">
      <c r="A131">
        <v>1</v>
      </c>
      <c r="B131">
        <v>42013</v>
      </c>
      <c r="C131" t="s">
        <v>632</v>
      </c>
    </row>
    <row r="132" spans="1:3">
      <c r="A132">
        <v>1</v>
      </c>
      <c r="B132">
        <v>42013</v>
      </c>
      <c r="C132" t="s">
        <v>588</v>
      </c>
    </row>
    <row r="133" spans="1:3">
      <c r="A133">
        <v>1</v>
      </c>
      <c r="B133">
        <v>42516</v>
      </c>
      <c r="C133" t="s">
        <v>475</v>
      </c>
    </row>
    <row r="134" spans="1:3">
      <c r="A134">
        <v>1</v>
      </c>
      <c r="B134">
        <v>42516</v>
      </c>
      <c r="C134" t="s">
        <v>543</v>
      </c>
    </row>
    <row r="135" spans="1:3">
      <c r="A135">
        <v>1</v>
      </c>
      <c r="B135">
        <v>43490</v>
      </c>
      <c r="C135" t="s">
        <v>664</v>
      </c>
    </row>
    <row r="136" spans="1:3">
      <c r="A136">
        <v>1</v>
      </c>
      <c r="B136">
        <v>43490</v>
      </c>
      <c r="C136" t="s">
        <v>634</v>
      </c>
    </row>
    <row r="137" spans="1:3">
      <c r="A137">
        <v>1</v>
      </c>
      <c r="B137">
        <v>43490</v>
      </c>
      <c r="C137" t="s">
        <v>273</v>
      </c>
    </row>
    <row r="138" spans="1:3">
      <c r="A138">
        <v>1</v>
      </c>
      <c r="B138">
        <v>43619</v>
      </c>
      <c r="C138" t="s">
        <v>635</v>
      </c>
    </row>
    <row r="139" spans="1:3">
      <c r="A139">
        <v>1</v>
      </c>
      <c r="B139">
        <v>43619</v>
      </c>
      <c r="C139" t="s">
        <v>303</v>
      </c>
    </row>
    <row r="140" spans="1:3">
      <c r="A140">
        <v>1</v>
      </c>
      <c r="B140">
        <v>43632</v>
      </c>
      <c r="C140" t="s">
        <v>589</v>
      </c>
    </row>
    <row r="141" spans="1:3">
      <c r="A141">
        <v>1</v>
      </c>
      <c r="B141">
        <v>43632</v>
      </c>
      <c r="C141" t="s">
        <v>636</v>
      </c>
    </row>
    <row r="142" spans="1:3">
      <c r="A142">
        <v>1</v>
      </c>
      <c r="B142">
        <v>43883</v>
      </c>
      <c r="C142" t="s">
        <v>468</v>
      </c>
    </row>
    <row r="143" spans="1:3">
      <c r="A143">
        <v>1</v>
      </c>
      <c r="B143">
        <v>43883</v>
      </c>
      <c r="C143" t="s">
        <v>154</v>
      </c>
    </row>
    <row r="144" spans="1:3">
      <c r="A144">
        <v>1</v>
      </c>
      <c r="B144">
        <v>43883</v>
      </c>
      <c r="C144" t="s">
        <v>665</v>
      </c>
    </row>
    <row r="145" spans="1:3">
      <c r="A145">
        <v>1</v>
      </c>
      <c r="B145">
        <v>43883</v>
      </c>
      <c r="C145" t="s">
        <v>392</v>
      </c>
    </row>
    <row r="146" spans="1:3">
      <c r="A146">
        <v>1</v>
      </c>
      <c r="B146">
        <v>44441</v>
      </c>
      <c r="C146" t="s">
        <v>590</v>
      </c>
    </row>
    <row r="147" spans="1:3">
      <c r="A147">
        <v>1</v>
      </c>
      <c r="B147">
        <v>44441</v>
      </c>
      <c r="C147" t="s">
        <v>612</v>
      </c>
    </row>
    <row r="148" spans="1:3">
      <c r="A148">
        <v>1</v>
      </c>
      <c r="B148">
        <v>44441</v>
      </c>
      <c r="C148" t="s">
        <v>393</v>
      </c>
    </row>
    <row r="149" spans="1:3">
      <c r="A149">
        <v>1</v>
      </c>
      <c r="B149">
        <v>44470</v>
      </c>
      <c r="C149" t="s">
        <v>666</v>
      </c>
    </row>
    <row r="150" spans="1:3">
      <c r="A150">
        <v>1</v>
      </c>
      <c r="B150">
        <v>44470</v>
      </c>
      <c r="C150" t="s">
        <v>205</v>
      </c>
    </row>
    <row r="151" spans="1:3">
      <c r="A151">
        <v>1</v>
      </c>
      <c r="B151">
        <v>44470</v>
      </c>
      <c r="C151" t="s">
        <v>205</v>
      </c>
    </row>
    <row r="152" spans="1:3">
      <c r="A152">
        <v>1</v>
      </c>
      <c r="B152">
        <v>44470</v>
      </c>
      <c r="C152" t="s">
        <v>205</v>
      </c>
    </row>
    <row r="153" spans="1:3">
      <c r="A153">
        <v>1</v>
      </c>
      <c r="B153">
        <v>45090</v>
      </c>
      <c r="C153" t="s">
        <v>428</v>
      </c>
    </row>
    <row r="154" spans="1:3">
      <c r="A154">
        <v>1</v>
      </c>
      <c r="B154">
        <v>45090</v>
      </c>
      <c r="C154" t="s">
        <v>591</v>
      </c>
    </row>
    <row r="155" spans="1:3">
      <c r="A155">
        <v>1</v>
      </c>
      <c r="B155">
        <v>47126</v>
      </c>
      <c r="C155" t="s">
        <v>471</v>
      </c>
    </row>
    <row r="156" spans="1:3">
      <c r="A156">
        <v>1</v>
      </c>
      <c r="B156">
        <v>47126</v>
      </c>
      <c r="C156" t="s">
        <v>220</v>
      </c>
    </row>
    <row r="157" spans="1:3">
      <c r="A157">
        <v>1</v>
      </c>
      <c r="B157">
        <v>47805</v>
      </c>
      <c r="C157" t="s">
        <v>473</v>
      </c>
    </row>
    <row r="158" spans="1:3">
      <c r="A158">
        <v>1</v>
      </c>
      <c r="B158">
        <v>47805</v>
      </c>
      <c r="C158" t="s">
        <v>172</v>
      </c>
    </row>
    <row r="159" spans="1:3">
      <c r="A159">
        <v>1</v>
      </c>
      <c r="B159">
        <v>47805</v>
      </c>
      <c r="C159" t="s">
        <v>172</v>
      </c>
    </row>
    <row r="160" spans="1:3">
      <c r="A160">
        <v>1</v>
      </c>
      <c r="B160">
        <v>48483</v>
      </c>
      <c r="C160" t="s">
        <v>82</v>
      </c>
    </row>
    <row r="161" spans="1:3">
      <c r="A161">
        <v>1</v>
      </c>
      <c r="B161">
        <v>48483</v>
      </c>
      <c r="C161" t="s">
        <v>228</v>
      </c>
    </row>
    <row r="162" spans="1:3">
      <c r="A162">
        <v>1</v>
      </c>
      <c r="B162">
        <v>48699</v>
      </c>
      <c r="C162" t="s">
        <v>634</v>
      </c>
    </row>
    <row r="163" spans="1:3">
      <c r="A163">
        <v>1</v>
      </c>
      <c r="B163">
        <v>48699</v>
      </c>
      <c r="C163" t="s">
        <v>230</v>
      </c>
    </row>
    <row r="164" spans="1:3">
      <c r="A164">
        <v>1</v>
      </c>
      <c r="B164">
        <v>48708</v>
      </c>
      <c r="C164" t="s">
        <v>638</v>
      </c>
    </row>
    <row r="165" spans="1:3">
      <c r="A165">
        <v>1</v>
      </c>
      <c r="B165">
        <v>48708</v>
      </c>
      <c r="C165" t="s">
        <v>552</v>
      </c>
    </row>
    <row r="166" spans="1:3">
      <c r="A166">
        <v>1</v>
      </c>
      <c r="B166">
        <v>49000</v>
      </c>
      <c r="C166" t="s">
        <v>270</v>
      </c>
    </row>
    <row r="167" spans="1:3">
      <c r="A167">
        <v>1</v>
      </c>
      <c r="B167">
        <v>49000</v>
      </c>
      <c r="C167" t="s">
        <v>592</v>
      </c>
    </row>
    <row r="168" spans="1:3">
      <c r="A168">
        <v>1</v>
      </c>
      <c r="B168">
        <v>49978</v>
      </c>
      <c r="C168" t="s">
        <v>639</v>
      </c>
    </row>
    <row r="169" spans="1:3">
      <c r="A169">
        <v>1</v>
      </c>
      <c r="B169">
        <v>49978</v>
      </c>
      <c r="C169" t="s">
        <v>593</v>
      </c>
    </row>
    <row r="170" spans="1:3">
      <c r="A170">
        <v>1</v>
      </c>
      <c r="B170">
        <v>50146</v>
      </c>
      <c r="C170" t="s">
        <v>640</v>
      </c>
    </row>
    <row r="171" spans="1:3">
      <c r="A171">
        <v>1</v>
      </c>
      <c r="B171">
        <v>50146</v>
      </c>
      <c r="C171" t="s">
        <v>316</v>
      </c>
    </row>
    <row r="172" spans="1:3">
      <c r="A172">
        <v>1</v>
      </c>
      <c r="B172">
        <v>50146</v>
      </c>
      <c r="C172" t="s">
        <v>316</v>
      </c>
    </row>
    <row r="173" spans="1:3">
      <c r="A173">
        <v>1</v>
      </c>
      <c r="B173">
        <v>50146</v>
      </c>
      <c r="C173" t="s">
        <v>316</v>
      </c>
    </row>
    <row r="174" spans="1:3">
      <c r="A174">
        <v>1</v>
      </c>
      <c r="B174">
        <v>50593</v>
      </c>
      <c r="C174" t="s">
        <v>641</v>
      </c>
    </row>
    <row r="175" spans="1:3">
      <c r="A175">
        <v>1</v>
      </c>
      <c r="B175">
        <v>50593</v>
      </c>
      <c r="C175" t="s">
        <v>555</v>
      </c>
    </row>
    <row r="176" spans="1:3">
      <c r="A176">
        <v>1</v>
      </c>
      <c r="B176">
        <v>50890</v>
      </c>
      <c r="C176" t="s">
        <v>168</v>
      </c>
    </row>
    <row r="177" spans="1:3">
      <c r="A177">
        <v>1</v>
      </c>
      <c r="B177">
        <v>50890</v>
      </c>
      <c r="C177" t="s">
        <v>475</v>
      </c>
    </row>
    <row r="178" spans="1:3">
      <c r="A178">
        <v>1</v>
      </c>
      <c r="B178">
        <v>51101</v>
      </c>
      <c r="C178" t="s">
        <v>441</v>
      </c>
    </row>
    <row r="179" spans="1:3">
      <c r="A179">
        <v>1</v>
      </c>
      <c r="B179">
        <v>51101</v>
      </c>
      <c r="C179" t="s">
        <v>264</v>
      </c>
    </row>
    <row r="180" spans="1:3">
      <c r="A180">
        <v>1</v>
      </c>
      <c r="B180">
        <v>51420</v>
      </c>
      <c r="C180" t="s">
        <v>77</v>
      </c>
    </row>
    <row r="181" spans="1:3">
      <c r="A181">
        <v>1</v>
      </c>
      <c r="B181">
        <v>51420</v>
      </c>
      <c r="C181" t="s">
        <v>77</v>
      </c>
    </row>
    <row r="182" spans="1:3">
      <c r="A182">
        <v>1</v>
      </c>
      <c r="B182">
        <v>51718</v>
      </c>
      <c r="C182" t="s">
        <v>202</v>
      </c>
    </row>
    <row r="183" spans="1:3">
      <c r="A183">
        <v>1</v>
      </c>
      <c r="B183">
        <v>51718</v>
      </c>
      <c r="C183" t="s">
        <v>477</v>
      </c>
    </row>
    <row r="184" spans="1:3">
      <c r="A184">
        <v>1</v>
      </c>
      <c r="B184">
        <v>52058</v>
      </c>
      <c r="C184" t="s">
        <v>182</v>
      </c>
    </row>
    <row r="185" spans="1:3">
      <c r="A185">
        <v>1</v>
      </c>
      <c r="B185">
        <v>52058</v>
      </c>
      <c r="C185" t="s">
        <v>301</v>
      </c>
    </row>
    <row r="186" spans="1:3">
      <c r="A186">
        <v>1</v>
      </c>
      <c r="B186">
        <v>52327</v>
      </c>
      <c r="C186" t="s">
        <v>249</v>
      </c>
    </row>
    <row r="187" spans="1:3">
      <c r="A187">
        <v>1</v>
      </c>
      <c r="B187">
        <v>52327</v>
      </c>
      <c r="C187" t="s">
        <v>644</v>
      </c>
    </row>
    <row r="188" spans="1:3">
      <c r="A188">
        <v>1</v>
      </c>
      <c r="B188">
        <v>52432</v>
      </c>
      <c r="C188" t="s">
        <v>559</v>
      </c>
    </row>
    <row r="189" spans="1:3">
      <c r="A189">
        <v>1</v>
      </c>
      <c r="B189">
        <v>52432</v>
      </c>
      <c r="C189" t="s">
        <v>259</v>
      </c>
    </row>
    <row r="190" spans="1:3">
      <c r="A190">
        <v>1</v>
      </c>
      <c r="B190">
        <v>52432</v>
      </c>
      <c r="C190" t="s">
        <v>259</v>
      </c>
    </row>
    <row r="191" spans="1:3">
      <c r="A191">
        <v>1</v>
      </c>
      <c r="B191">
        <v>52733</v>
      </c>
      <c r="C191" t="s">
        <v>597</v>
      </c>
    </row>
    <row r="192" spans="1:3">
      <c r="A192">
        <v>1</v>
      </c>
      <c r="B192">
        <v>52733</v>
      </c>
      <c r="C192" t="s">
        <v>645</v>
      </c>
    </row>
    <row r="193" spans="1:3">
      <c r="A193">
        <v>1</v>
      </c>
      <c r="B193">
        <v>53347</v>
      </c>
      <c r="C193" t="s">
        <v>598</v>
      </c>
    </row>
    <row r="194" spans="1:3">
      <c r="A194">
        <v>1</v>
      </c>
      <c r="B194">
        <v>53347</v>
      </c>
      <c r="C194" t="s">
        <v>646</v>
      </c>
    </row>
    <row r="195" spans="1:3">
      <c r="A195">
        <v>1</v>
      </c>
      <c r="B195">
        <v>53572</v>
      </c>
      <c r="C195" t="s">
        <v>36</v>
      </c>
    </row>
    <row r="196" spans="1:3">
      <c r="A196">
        <v>1</v>
      </c>
      <c r="B196">
        <v>53572</v>
      </c>
      <c r="C196" t="s">
        <v>448</v>
      </c>
    </row>
    <row r="197" spans="1:3">
      <c r="A197">
        <v>1</v>
      </c>
      <c r="B197">
        <v>53572</v>
      </c>
      <c r="C197" t="s">
        <v>261</v>
      </c>
    </row>
    <row r="198" spans="1:3">
      <c r="A198">
        <v>1</v>
      </c>
      <c r="B198">
        <v>54076</v>
      </c>
      <c r="C198" t="s">
        <v>647</v>
      </c>
    </row>
    <row r="199" spans="1:3">
      <c r="A199">
        <v>1</v>
      </c>
      <c r="B199">
        <v>54076</v>
      </c>
      <c r="C199" t="s">
        <v>293</v>
      </c>
    </row>
    <row r="200" spans="1:3">
      <c r="A200">
        <v>1</v>
      </c>
      <c r="B200">
        <v>55450</v>
      </c>
      <c r="C200" t="s">
        <v>133</v>
      </c>
    </row>
    <row r="201" spans="1:3">
      <c r="A201">
        <v>1</v>
      </c>
      <c r="B201">
        <v>68739</v>
      </c>
      <c r="C201" t="s">
        <v>212</v>
      </c>
    </row>
    <row r="202" spans="1:3">
      <c r="A202">
        <v>1</v>
      </c>
      <c r="B202">
        <v>90313</v>
      </c>
      <c r="C202" t="s">
        <v>449</v>
      </c>
    </row>
    <row r="203" spans="1:3">
      <c r="A203">
        <v>1</v>
      </c>
      <c r="B203">
        <v>90313</v>
      </c>
      <c r="C203" t="s">
        <v>311</v>
      </c>
    </row>
    <row r="204" spans="1:3">
      <c r="A204">
        <v>1</v>
      </c>
      <c r="B204">
        <v>35783</v>
      </c>
      <c r="C204" t="s">
        <v>372</v>
      </c>
    </row>
    <row r="205" spans="1:3">
      <c r="B205">
        <v>30021</v>
      </c>
      <c r="C205" t="s">
        <v>235</v>
      </c>
    </row>
    <row r="206" spans="1:3">
      <c r="B206">
        <v>30021</v>
      </c>
      <c r="C206" t="s">
        <v>242</v>
      </c>
    </row>
    <row r="207" spans="1:3">
      <c r="B207">
        <v>30037</v>
      </c>
      <c r="C207" t="s">
        <v>104</v>
      </c>
    </row>
    <row r="208" spans="1:3">
      <c r="B208">
        <v>30037</v>
      </c>
      <c r="C208" t="s">
        <v>602</v>
      </c>
    </row>
    <row r="209" spans="2:3">
      <c r="B209">
        <v>30056</v>
      </c>
      <c r="C209" t="s">
        <v>310</v>
      </c>
    </row>
    <row r="210" spans="2:3">
      <c r="B210">
        <v>30061</v>
      </c>
      <c r="C210" t="s">
        <v>139</v>
      </c>
    </row>
    <row r="211" spans="2:3">
      <c r="B211">
        <v>30061</v>
      </c>
      <c r="C211" t="s">
        <v>199</v>
      </c>
    </row>
    <row r="212" spans="2:3">
      <c r="B212">
        <v>30100</v>
      </c>
      <c r="C212" t="s">
        <v>66</v>
      </c>
    </row>
    <row r="213" spans="2:3">
      <c r="B213">
        <v>30100</v>
      </c>
      <c r="C213" t="s">
        <v>139</v>
      </c>
    </row>
    <row r="214" spans="2:3">
      <c r="B214">
        <v>30192</v>
      </c>
      <c r="C214" t="s">
        <v>337</v>
      </c>
    </row>
    <row r="215" spans="2:3">
      <c r="B215">
        <v>30222</v>
      </c>
      <c r="C215" t="s">
        <v>86</v>
      </c>
    </row>
    <row r="216" spans="2:3">
      <c r="B216">
        <v>30341</v>
      </c>
      <c r="C216" t="s">
        <v>108</v>
      </c>
    </row>
    <row r="217" spans="2:3">
      <c r="B217">
        <v>30341</v>
      </c>
      <c r="C217" t="s">
        <v>116</v>
      </c>
    </row>
    <row r="218" spans="2:3">
      <c r="B218">
        <v>30341</v>
      </c>
      <c r="C218" t="s">
        <v>190</v>
      </c>
    </row>
    <row r="219" spans="2:3">
      <c r="B219">
        <v>30364</v>
      </c>
      <c r="C219" t="s">
        <v>121</v>
      </c>
    </row>
    <row r="220" spans="2:3">
      <c r="B220">
        <v>30364</v>
      </c>
      <c r="C220" t="s">
        <v>651</v>
      </c>
    </row>
    <row r="221" spans="2:3">
      <c r="B221">
        <v>30364</v>
      </c>
      <c r="C221" t="s">
        <v>572</v>
      </c>
    </row>
    <row r="222" spans="2:3">
      <c r="B222">
        <v>30364</v>
      </c>
      <c r="C222" t="s">
        <v>318</v>
      </c>
    </row>
    <row r="223" spans="2:3">
      <c r="B223">
        <v>30364</v>
      </c>
      <c r="C223" t="s">
        <v>323</v>
      </c>
    </row>
    <row r="224" spans="2:3">
      <c r="B224">
        <v>30422</v>
      </c>
      <c r="C224" t="s">
        <v>164</v>
      </c>
    </row>
    <row r="225" spans="2:3">
      <c r="B225">
        <v>30422</v>
      </c>
      <c r="C225" t="s">
        <v>255</v>
      </c>
    </row>
    <row r="226" spans="2:3">
      <c r="B226">
        <v>30442</v>
      </c>
      <c r="C226" t="s">
        <v>604</v>
      </c>
    </row>
    <row r="227" spans="2:3">
      <c r="B227">
        <v>30442</v>
      </c>
      <c r="C227" t="s">
        <v>451</v>
      </c>
    </row>
    <row r="228" spans="2:3">
      <c r="B228">
        <v>30442</v>
      </c>
      <c r="C228" t="s">
        <v>452</v>
      </c>
    </row>
    <row r="229" spans="2:3">
      <c r="B229">
        <v>30442</v>
      </c>
      <c r="C229" t="s">
        <v>242</v>
      </c>
    </row>
    <row r="230" spans="2:3">
      <c r="B230">
        <v>30651</v>
      </c>
      <c r="C230" t="s">
        <v>671</v>
      </c>
    </row>
    <row r="231" spans="2:3">
      <c r="B231">
        <v>30651</v>
      </c>
      <c r="C231" t="s">
        <v>130</v>
      </c>
    </row>
    <row r="232" spans="2:3">
      <c r="B232">
        <v>30651</v>
      </c>
      <c r="C232" t="s">
        <v>158</v>
      </c>
    </row>
    <row r="233" spans="2:3">
      <c r="B233">
        <v>30651</v>
      </c>
      <c r="C233" t="s">
        <v>605</v>
      </c>
    </row>
    <row r="234" spans="2:3">
      <c r="B234">
        <v>30651</v>
      </c>
      <c r="C234" t="s">
        <v>276</v>
      </c>
    </row>
    <row r="235" spans="2:3">
      <c r="B235">
        <v>30701</v>
      </c>
      <c r="C235" t="s">
        <v>452</v>
      </c>
    </row>
    <row r="236" spans="2:3">
      <c r="B236">
        <v>30701</v>
      </c>
      <c r="C236" t="s">
        <v>235</v>
      </c>
    </row>
    <row r="237" spans="2:3">
      <c r="B237">
        <v>30758</v>
      </c>
      <c r="C237" t="s">
        <v>606</v>
      </c>
    </row>
    <row r="238" spans="2:3">
      <c r="B238">
        <v>30758</v>
      </c>
      <c r="C238" t="s">
        <v>139</v>
      </c>
    </row>
    <row r="239" spans="2:3">
      <c r="B239">
        <v>30794</v>
      </c>
      <c r="C239" t="s">
        <v>38</v>
      </c>
    </row>
    <row r="240" spans="2:3">
      <c r="B240">
        <v>30794</v>
      </c>
      <c r="C240" t="s">
        <v>71</v>
      </c>
    </row>
    <row r="241" spans="2:3">
      <c r="B241">
        <v>30794</v>
      </c>
      <c r="C241" t="s">
        <v>107</v>
      </c>
    </row>
    <row r="242" spans="2:3">
      <c r="B242">
        <v>30794</v>
      </c>
      <c r="C242" t="s">
        <v>122</v>
      </c>
    </row>
    <row r="243" spans="2:3">
      <c r="B243">
        <v>30794</v>
      </c>
      <c r="C243" t="s">
        <v>130</v>
      </c>
    </row>
    <row r="244" spans="2:3">
      <c r="B244">
        <v>30794</v>
      </c>
      <c r="C244" t="s">
        <v>177</v>
      </c>
    </row>
    <row r="245" spans="2:3">
      <c r="B245">
        <v>30794</v>
      </c>
      <c r="C245" t="s">
        <v>669</v>
      </c>
    </row>
    <row r="246" spans="2:3">
      <c r="B246">
        <v>30794</v>
      </c>
      <c r="C246" t="s">
        <v>483</v>
      </c>
    </row>
    <row r="247" spans="2:3">
      <c r="B247">
        <v>30932</v>
      </c>
      <c r="C247" t="s">
        <v>571</v>
      </c>
    </row>
    <row r="248" spans="2:3">
      <c r="B248">
        <v>30932</v>
      </c>
      <c r="C248" t="s">
        <v>86</v>
      </c>
    </row>
    <row r="249" spans="2:3">
      <c r="B249">
        <v>30932</v>
      </c>
      <c r="C249" t="s">
        <v>378</v>
      </c>
    </row>
    <row r="250" spans="2:3">
      <c r="B250">
        <v>30932</v>
      </c>
      <c r="C250" t="s">
        <v>377</v>
      </c>
    </row>
    <row r="251" spans="2:3">
      <c r="B251">
        <v>30951</v>
      </c>
      <c r="C251" t="s">
        <v>429</v>
      </c>
    </row>
    <row r="252" spans="2:3">
      <c r="B252">
        <v>30951</v>
      </c>
      <c r="C252" t="s">
        <v>573</v>
      </c>
    </row>
    <row r="253" spans="2:3">
      <c r="B253">
        <v>30953</v>
      </c>
      <c r="C253" t="s">
        <v>608</v>
      </c>
    </row>
    <row r="254" spans="2:3">
      <c r="B254">
        <v>30953</v>
      </c>
      <c r="C254" t="s">
        <v>573</v>
      </c>
    </row>
    <row r="255" spans="2:3">
      <c r="B255">
        <v>30972</v>
      </c>
      <c r="C255" t="s">
        <v>486</v>
      </c>
    </row>
    <row r="256" spans="2:3">
      <c r="B256">
        <v>30972</v>
      </c>
      <c r="C256" t="s">
        <v>487</v>
      </c>
    </row>
    <row r="257" spans="2:3">
      <c r="B257">
        <v>30972</v>
      </c>
      <c r="C257" t="s">
        <v>485</v>
      </c>
    </row>
    <row r="258" spans="2:3">
      <c r="B258">
        <v>30972</v>
      </c>
      <c r="C258" t="s">
        <v>158</v>
      </c>
    </row>
    <row r="259" spans="2:3">
      <c r="B259">
        <v>30972</v>
      </c>
      <c r="C259" t="s">
        <v>574</v>
      </c>
    </row>
    <row r="260" spans="2:3">
      <c r="B260">
        <v>31078</v>
      </c>
      <c r="C260" t="s">
        <v>242</v>
      </c>
    </row>
    <row r="261" spans="2:3">
      <c r="B261">
        <v>31078</v>
      </c>
      <c r="C261" t="s">
        <v>610</v>
      </c>
    </row>
    <row r="262" spans="2:3">
      <c r="B262">
        <v>31202</v>
      </c>
      <c r="C262" t="s">
        <v>219</v>
      </c>
    </row>
    <row r="263" spans="2:3">
      <c r="B263">
        <v>31202</v>
      </c>
      <c r="C263" t="s">
        <v>610</v>
      </c>
    </row>
    <row r="264" spans="2:3">
      <c r="B264">
        <v>31202</v>
      </c>
      <c r="C264" t="s">
        <v>488</v>
      </c>
    </row>
    <row r="265" spans="2:3">
      <c r="B265">
        <v>31202</v>
      </c>
      <c r="C265" t="s">
        <v>318</v>
      </c>
    </row>
    <row r="266" spans="2:3">
      <c r="B266">
        <v>31234</v>
      </c>
      <c r="C266" t="s">
        <v>21</v>
      </c>
    </row>
    <row r="267" spans="2:3">
      <c r="B267">
        <v>31234</v>
      </c>
      <c r="C267" t="s">
        <v>72</v>
      </c>
    </row>
    <row r="268" spans="2:3">
      <c r="B268">
        <v>31234</v>
      </c>
      <c r="C268" t="s">
        <v>227</v>
      </c>
    </row>
    <row r="269" spans="2:3">
      <c r="B269">
        <v>31234</v>
      </c>
      <c r="C269" t="s">
        <v>489</v>
      </c>
    </row>
    <row r="270" spans="2:3">
      <c r="B270">
        <v>31234</v>
      </c>
      <c r="C270" t="s">
        <v>328</v>
      </c>
    </row>
    <row r="271" spans="2:3">
      <c r="B271">
        <v>31234</v>
      </c>
      <c r="C271" t="s">
        <v>461</v>
      </c>
    </row>
    <row r="272" spans="2:3">
      <c r="B272">
        <v>31272</v>
      </c>
      <c r="C272" t="s">
        <v>39</v>
      </c>
    </row>
    <row r="273" spans="2:3">
      <c r="B273">
        <v>31272</v>
      </c>
      <c r="C273" t="s">
        <v>379</v>
      </c>
    </row>
    <row r="274" spans="2:3">
      <c r="B274">
        <v>31272</v>
      </c>
      <c r="C274" t="s">
        <v>392</v>
      </c>
    </row>
    <row r="275" spans="2:3">
      <c r="B275">
        <v>31272</v>
      </c>
      <c r="C275" t="s">
        <v>300</v>
      </c>
    </row>
    <row r="276" spans="2:3">
      <c r="B276">
        <v>31481</v>
      </c>
      <c r="C276" t="s">
        <v>399</v>
      </c>
    </row>
    <row r="277" spans="2:3">
      <c r="B277">
        <v>31481</v>
      </c>
      <c r="C277" t="s">
        <v>208</v>
      </c>
    </row>
    <row r="278" spans="2:3">
      <c r="B278">
        <v>31481</v>
      </c>
      <c r="C278" t="s">
        <v>392</v>
      </c>
    </row>
    <row r="279" spans="2:3">
      <c r="B279">
        <v>31481</v>
      </c>
      <c r="C279" t="s">
        <v>269</v>
      </c>
    </row>
    <row r="280" spans="2:3">
      <c r="B280">
        <v>31481</v>
      </c>
      <c r="C280" t="s">
        <v>329</v>
      </c>
    </row>
    <row r="281" spans="2:3">
      <c r="B281">
        <v>31495</v>
      </c>
      <c r="C281" t="s">
        <v>575</v>
      </c>
    </row>
    <row r="282" spans="2:3">
      <c r="B282">
        <v>31495</v>
      </c>
      <c r="C282" t="s">
        <v>493</v>
      </c>
    </row>
    <row r="283" spans="2:3">
      <c r="B283">
        <v>31495</v>
      </c>
      <c r="C283" t="s">
        <v>496</v>
      </c>
    </row>
    <row r="284" spans="2:3">
      <c r="B284">
        <v>31495</v>
      </c>
      <c r="C284" t="s">
        <v>492</v>
      </c>
    </row>
    <row r="285" spans="2:3">
      <c r="B285">
        <v>31495</v>
      </c>
      <c r="C285" t="s">
        <v>495</v>
      </c>
    </row>
    <row r="286" spans="2:3">
      <c r="B286">
        <v>31495</v>
      </c>
      <c r="C286" t="s">
        <v>494</v>
      </c>
    </row>
    <row r="287" spans="2:3">
      <c r="B287">
        <v>31495</v>
      </c>
      <c r="C287" t="s">
        <v>283</v>
      </c>
    </row>
    <row r="288" spans="2:3">
      <c r="B288">
        <v>32009</v>
      </c>
      <c r="C288" t="s">
        <v>81</v>
      </c>
    </row>
    <row r="289" spans="2:3">
      <c r="B289">
        <v>32009</v>
      </c>
      <c r="C289" t="s">
        <v>183</v>
      </c>
    </row>
    <row r="290" spans="2:3">
      <c r="B290">
        <v>32009</v>
      </c>
      <c r="C290" t="s">
        <v>197</v>
      </c>
    </row>
    <row r="291" spans="2:3">
      <c r="B291">
        <v>32009</v>
      </c>
      <c r="C291" t="s">
        <v>611</v>
      </c>
    </row>
    <row r="292" spans="2:3">
      <c r="B292">
        <v>32009</v>
      </c>
      <c r="C292" t="s">
        <v>333</v>
      </c>
    </row>
    <row r="293" spans="2:3">
      <c r="B293">
        <v>32444</v>
      </c>
      <c r="C293" t="s">
        <v>455</v>
      </c>
    </row>
    <row r="294" spans="2:3">
      <c r="B294">
        <v>32444</v>
      </c>
      <c r="C294" t="s">
        <v>94</v>
      </c>
    </row>
    <row r="295" spans="2:3">
      <c r="B295">
        <v>32444</v>
      </c>
      <c r="C295" t="s">
        <v>103</v>
      </c>
    </row>
    <row r="296" spans="2:3">
      <c r="B296">
        <v>32444</v>
      </c>
      <c r="C296" t="s">
        <v>576</v>
      </c>
    </row>
    <row r="297" spans="2:3">
      <c r="B297">
        <v>32444</v>
      </c>
      <c r="C297" t="s">
        <v>456</v>
      </c>
    </row>
    <row r="298" spans="2:3">
      <c r="B298">
        <v>32444</v>
      </c>
      <c r="C298" t="s">
        <v>431</v>
      </c>
    </row>
    <row r="299" spans="2:3">
      <c r="B299">
        <v>32896</v>
      </c>
      <c r="C299" t="s">
        <v>217</v>
      </c>
    </row>
    <row r="300" spans="2:3">
      <c r="B300">
        <v>32896</v>
      </c>
      <c r="C300" t="s">
        <v>319</v>
      </c>
    </row>
    <row r="301" spans="2:3">
      <c r="B301">
        <v>32896</v>
      </c>
      <c r="C301" t="s">
        <v>340</v>
      </c>
    </row>
    <row r="302" spans="2:3">
      <c r="B302">
        <v>32937</v>
      </c>
      <c r="C302" t="s">
        <v>502</v>
      </c>
    </row>
    <row r="303" spans="2:3">
      <c r="B303">
        <v>32937</v>
      </c>
      <c r="C303" t="s">
        <v>497</v>
      </c>
    </row>
    <row r="304" spans="2:3">
      <c r="B304">
        <v>32937</v>
      </c>
      <c r="C304" t="s">
        <v>501</v>
      </c>
    </row>
    <row r="305" spans="2:3">
      <c r="B305">
        <v>32937</v>
      </c>
      <c r="C305" t="s">
        <v>499</v>
      </c>
    </row>
    <row r="306" spans="2:3">
      <c r="B306">
        <v>32937</v>
      </c>
      <c r="C306" t="s">
        <v>275</v>
      </c>
    </row>
    <row r="307" spans="2:3">
      <c r="B307">
        <v>32937</v>
      </c>
      <c r="C307" t="s">
        <v>500</v>
      </c>
    </row>
    <row r="308" spans="2:3">
      <c r="B308">
        <v>32937</v>
      </c>
      <c r="C308" t="s">
        <v>498</v>
      </c>
    </row>
    <row r="309" spans="2:3">
      <c r="B309">
        <v>32986</v>
      </c>
      <c r="C309" t="s">
        <v>673</v>
      </c>
    </row>
    <row r="310" spans="2:3">
      <c r="B310">
        <v>32986</v>
      </c>
      <c r="C310" t="s">
        <v>404</v>
      </c>
    </row>
    <row r="311" spans="2:3">
      <c r="B311">
        <v>32986</v>
      </c>
      <c r="C311" t="s">
        <v>400</v>
      </c>
    </row>
    <row r="312" spans="2:3">
      <c r="B312">
        <v>32986</v>
      </c>
      <c r="C312" t="s">
        <v>401</v>
      </c>
    </row>
    <row r="313" spans="2:3">
      <c r="B313">
        <v>32986</v>
      </c>
      <c r="C313" t="s">
        <v>403</v>
      </c>
    </row>
    <row r="314" spans="2:3">
      <c r="B314">
        <v>32986</v>
      </c>
      <c r="C314" t="s">
        <v>322</v>
      </c>
    </row>
    <row r="315" spans="2:3">
      <c r="B315">
        <v>33130</v>
      </c>
      <c r="C315" t="s">
        <v>113</v>
      </c>
    </row>
    <row r="316" spans="2:3">
      <c r="B316">
        <v>33130</v>
      </c>
      <c r="C316" t="s">
        <v>612</v>
      </c>
    </row>
    <row r="317" spans="2:3">
      <c r="B317">
        <v>33130</v>
      </c>
      <c r="C317" t="s">
        <v>340</v>
      </c>
    </row>
    <row r="318" spans="2:3">
      <c r="B318">
        <v>33177</v>
      </c>
      <c r="C318" t="s">
        <v>457</v>
      </c>
    </row>
    <row r="319" spans="2:3">
      <c r="B319">
        <v>33177</v>
      </c>
      <c r="C319" t="s">
        <v>223</v>
      </c>
    </row>
    <row r="320" spans="2:3">
      <c r="B320">
        <v>33177</v>
      </c>
      <c r="C320" t="s">
        <v>303</v>
      </c>
    </row>
    <row r="321" spans="2:3">
      <c r="B321">
        <v>33422</v>
      </c>
      <c r="C321" t="s">
        <v>578</v>
      </c>
    </row>
    <row r="322" spans="2:3">
      <c r="B322">
        <v>33422</v>
      </c>
      <c r="C322" t="s">
        <v>381</v>
      </c>
    </row>
    <row r="323" spans="2:3">
      <c r="B323">
        <v>33436</v>
      </c>
      <c r="C323" t="s">
        <v>579</v>
      </c>
    </row>
    <row r="324" spans="2:3">
      <c r="B324">
        <v>33436</v>
      </c>
      <c r="C324" t="s">
        <v>508</v>
      </c>
    </row>
    <row r="325" spans="2:3">
      <c r="B325">
        <v>33436</v>
      </c>
      <c r="C325" t="s">
        <v>507</v>
      </c>
    </row>
    <row r="326" spans="2:3">
      <c r="B326">
        <v>33436</v>
      </c>
      <c r="C326" t="s">
        <v>506</v>
      </c>
    </row>
    <row r="327" spans="2:3">
      <c r="B327">
        <v>33436</v>
      </c>
      <c r="C327" t="s">
        <v>503</v>
      </c>
    </row>
    <row r="328" spans="2:3">
      <c r="B328">
        <v>33436</v>
      </c>
      <c r="C328" t="s">
        <v>282</v>
      </c>
    </row>
    <row r="329" spans="2:3">
      <c r="B329">
        <v>33824</v>
      </c>
      <c r="C329" t="s">
        <v>58</v>
      </c>
    </row>
    <row r="330" spans="2:3">
      <c r="B330">
        <v>33824</v>
      </c>
      <c r="C330" t="s">
        <v>614</v>
      </c>
    </row>
    <row r="331" spans="2:3">
      <c r="B331">
        <v>34545</v>
      </c>
      <c r="C331" t="s">
        <v>209</v>
      </c>
    </row>
    <row r="332" spans="2:3">
      <c r="B332">
        <v>34545</v>
      </c>
      <c r="C332" t="s">
        <v>615</v>
      </c>
    </row>
    <row r="333" spans="2:3">
      <c r="B333">
        <v>34938</v>
      </c>
      <c r="C333" t="s">
        <v>581</v>
      </c>
    </row>
    <row r="334" spans="2:3">
      <c r="B334">
        <v>34938</v>
      </c>
      <c r="C334" t="s">
        <v>292</v>
      </c>
    </row>
    <row r="335" spans="2:3">
      <c r="B335">
        <v>35307</v>
      </c>
      <c r="C335" t="s">
        <v>460</v>
      </c>
    </row>
    <row r="336" spans="2:3">
      <c r="B336">
        <v>35307</v>
      </c>
      <c r="C336" t="s">
        <v>462</v>
      </c>
    </row>
    <row r="337" spans="2:3">
      <c r="B337">
        <v>35307</v>
      </c>
      <c r="C337" t="s">
        <v>199</v>
      </c>
    </row>
    <row r="338" spans="2:3">
      <c r="B338">
        <v>35307</v>
      </c>
      <c r="C338" t="s">
        <v>215</v>
      </c>
    </row>
    <row r="339" spans="2:3">
      <c r="B339">
        <v>35307</v>
      </c>
      <c r="C339" t="s">
        <v>458</v>
      </c>
    </row>
    <row r="340" spans="2:3">
      <c r="B340">
        <v>35307</v>
      </c>
      <c r="C340" t="s">
        <v>389</v>
      </c>
    </row>
    <row r="341" spans="2:3">
      <c r="B341">
        <v>35307</v>
      </c>
      <c r="C341" t="s">
        <v>461</v>
      </c>
    </row>
    <row r="342" spans="2:3">
      <c r="B342">
        <v>35436</v>
      </c>
      <c r="C342" t="s">
        <v>144</v>
      </c>
    </row>
    <row r="343" spans="2:3">
      <c r="B343">
        <v>35436</v>
      </c>
      <c r="C343" t="s">
        <v>384</v>
      </c>
    </row>
    <row r="344" spans="2:3">
      <c r="B344">
        <v>35436</v>
      </c>
      <c r="C344" t="s">
        <v>385</v>
      </c>
    </row>
    <row r="345" spans="2:3">
      <c r="B345">
        <v>35436</v>
      </c>
      <c r="C345" t="s">
        <v>616</v>
      </c>
    </row>
    <row r="346" spans="2:3">
      <c r="B346">
        <v>35436</v>
      </c>
      <c r="C346" t="s">
        <v>382</v>
      </c>
    </row>
    <row r="347" spans="2:3">
      <c r="B347">
        <v>35436</v>
      </c>
      <c r="C347" t="s">
        <v>293</v>
      </c>
    </row>
    <row r="348" spans="2:3">
      <c r="B348">
        <v>35436</v>
      </c>
      <c r="C348" t="s">
        <v>299</v>
      </c>
    </row>
    <row r="349" spans="2:3">
      <c r="B349">
        <v>35436</v>
      </c>
      <c r="C349" t="s">
        <v>383</v>
      </c>
    </row>
    <row r="350" spans="2:3">
      <c r="B350">
        <v>35483</v>
      </c>
      <c r="C350" t="s">
        <v>148</v>
      </c>
    </row>
    <row r="351" spans="2:3">
      <c r="B351">
        <v>35483</v>
      </c>
      <c r="C351" t="s">
        <v>386</v>
      </c>
    </row>
    <row r="352" spans="2:3">
      <c r="B352">
        <v>35483</v>
      </c>
      <c r="C352" t="s">
        <v>387</v>
      </c>
    </row>
    <row r="353" spans="1:3">
      <c r="B353">
        <v>35505</v>
      </c>
      <c r="C353" t="s">
        <v>509</v>
      </c>
    </row>
    <row r="354" spans="1:3">
      <c r="B354">
        <v>35505</v>
      </c>
      <c r="C354" t="s">
        <v>76</v>
      </c>
    </row>
    <row r="355" spans="1:3">
      <c r="B355">
        <v>35505</v>
      </c>
      <c r="C355" t="s">
        <v>150</v>
      </c>
    </row>
    <row r="356" spans="1:3" s="3" customFormat="1">
      <c r="A356"/>
      <c r="B356">
        <v>35505</v>
      </c>
      <c r="C356" t="s">
        <v>511</v>
      </c>
    </row>
    <row r="357" spans="1:3">
      <c r="B357">
        <v>35505</v>
      </c>
      <c r="C357" t="s">
        <v>241</v>
      </c>
    </row>
    <row r="358" spans="1:3">
      <c r="B358">
        <v>35505</v>
      </c>
      <c r="C358" t="s">
        <v>510</v>
      </c>
    </row>
    <row r="359" spans="1:3">
      <c r="B359">
        <v>35698</v>
      </c>
      <c r="C359" t="s">
        <v>198</v>
      </c>
    </row>
    <row r="360" spans="1:3">
      <c r="B360">
        <v>35698</v>
      </c>
      <c r="C360" t="s">
        <v>406</v>
      </c>
    </row>
    <row r="361" spans="1:3">
      <c r="B361">
        <v>35698</v>
      </c>
      <c r="C361" t="s">
        <v>278</v>
      </c>
    </row>
    <row r="362" spans="1:3">
      <c r="B362">
        <v>35698</v>
      </c>
      <c r="C362" t="s">
        <v>618</v>
      </c>
    </row>
    <row r="363" spans="1:3">
      <c r="B363">
        <v>35698</v>
      </c>
      <c r="C363" t="s">
        <v>335</v>
      </c>
    </row>
    <row r="364" spans="1:3">
      <c r="B364">
        <v>35783</v>
      </c>
      <c r="C364" t="s">
        <v>619</v>
      </c>
    </row>
    <row r="365" spans="1:3">
      <c r="B365">
        <v>35783</v>
      </c>
      <c r="C365" t="s">
        <v>194</v>
      </c>
    </row>
    <row r="366" spans="1:3">
      <c r="B366">
        <v>36058</v>
      </c>
      <c r="C366" t="s">
        <v>154</v>
      </c>
    </row>
    <row r="367" spans="1:3">
      <c r="B367">
        <v>36058</v>
      </c>
      <c r="C367" t="s">
        <v>512</v>
      </c>
    </row>
    <row r="368" spans="1:3">
      <c r="B368">
        <v>36058</v>
      </c>
      <c r="C368" t="s">
        <v>513</v>
      </c>
    </row>
    <row r="369" spans="2:3">
      <c r="B369">
        <v>36101</v>
      </c>
      <c r="C369" t="s">
        <v>514</v>
      </c>
    </row>
    <row r="370" spans="2:3">
      <c r="B370">
        <v>36101</v>
      </c>
      <c r="C370" t="s">
        <v>108</v>
      </c>
    </row>
    <row r="371" spans="2:3">
      <c r="B371">
        <v>36101</v>
      </c>
      <c r="C371" t="s">
        <v>516</v>
      </c>
    </row>
    <row r="372" spans="2:3">
      <c r="B372">
        <v>36101</v>
      </c>
      <c r="C372" t="s">
        <v>513</v>
      </c>
    </row>
    <row r="373" spans="2:3">
      <c r="B373">
        <v>36101</v>
      </c>
      <c r="C373" t="s">
        <v>515</v>
      </c>
    </row>
    <row r="374" spans="2:3">
      <c r="B374">
        <v>36101</v>
      </c>
      <c r="C374" t="s">
        <v>517</v>
      </c>
    </row>
    <row r="375" spans="2:3">
      <c r="B375">
        <v>36130</v>
      </c>
      <c r="C375" t="s">
        <v>407</v>
      </c>
    </row>
    <row r="376" spans="2:3">
      <c r="B376">
        <v>36130</v>
      </c>
      <c r="C376" t="s">
        <v>299</v>
      </c>
    </row>
    <row r="377" spans="2:3">
      <c r="B377">
        <v>36130</v>
      </c>
      <c r="C377" t="s">
        <v>326</v>
      </c>
    </row>
    <row r="378" spans="2:3">
      <c r="B378">
        <v>36238</v>
      </c>
      <c r="C378" t="s">
        <v>28</v>
      </c>
    </row>
    <row r="379" spans="2:3">
      <c r="B379">
        <v>36238</v>
      </c>
      <c r="C379" t="s">
        <v>463</v>
      </c>
    </row>
    <row r="380" spans="2:3">
      <c r="B380">
        <v>36238</v>
      </c>
      <c r="C380" t="s">
        <v>241</v>
      </c>
    </row>
    <row r="381" spans="2:3">
      <c r="B381">
        <v>36302</v>
      </c>
      <c r="C381" t="s">
        <v>409</v>
      </c>
    </row>
    <row r="382" spans="2:3">
      <c r="B382">
        <v>36302</v>
      </c>
      <c r="C382" t="s">
        <v>408</v>
      </c>
    </row>
    <row r="383" spans="2:3">
      <c r="B383">
        <v>36302</v>
      </c>
      <c r="C383" t="s">
        <v>410</v>
      </c>
    </row>
    <row r="384" spans="2:3">
      <c r="B384">
        <v>36302</v>
      </c>
      <c r="C384" t="s">
        <v>315</v>
      </c>
    </row>
    <row r="385" spans="2:3">
      <c r="B385">
        <v>36302</v>
      </c>
      <c r="C385" t="s">
        <v>389</v>
      </c>
    </row>
    <row r="386" spans="2:3">
      <c r="B386">
        <v>36302</v>
      </c>
      <c r="C386" t="s">
        <v>340</v>
      </c>
    </row>
    <row r="387" spans="2:3">
      <c r="B387">
        <v>36793</v>
      </c>
      <c r="C387" t="s">
        <v>623</v>
      </c>
    </row>
    <row r="388" spans="2:3">
      <c r="B388">
        <v>36793</v>
      </c>
      <c r="C388" t="s">
        <v>123</v>
      </c>
    </row>
    <row r="389" spans="2:3">
      <c r="B389">
        <v>37054</v>
      </c>
      <c r="C389" t="s">
        <v>465</v>
      </c>
    </row>
    <row r="390" spans="2:3">
      <c r="B390">
        <v>37054</v>
      </c>
      <c r="C390" t="s">
        <v>518</v>
      </c>
    </row>
    <row r="391" spans="2:3">
      <c r="B391">
        <v>37054</v>
      </c>
      <c r="C391" t="s">
        <v>520</v>
      </c>
    </row>
    <row r="392" spans="2:3">
      <c r="B392">
        <v>37054</v>
      </c>
      <c r="C392" t="s">
        <v>519</v>
      </c>
    </row>
    <row r="393" spans="2:3">
      <c r="B393">
        <v>37314</v>
      </c>
      <c r="C393" t="s">
        <v>123</v>
      </c>
    </row>
    <row r="394" spans="2:3">
      <c r="B394">
        <v>37314</v>
      </c>
      <c r="C394" t="s">
        <v>624</v>
      </c>
    </row>
    <row r="395" spans="2:3">
      <c r="B395">
        <v>37347</v>
      </c>
      <c r="C395" t="s">
        <v>148</v>
      </c>
    </row>
    <row r="396" spans="2:3">
      <c r="B396">
        <v>37347</v>
      </c>
      <c r="C396" t="s">
        <v>201</v>
      </c>
    </row>
    <row r="397" spans="2:3">
      <c r="B397">
        <v>37347</v>
      </c>
      <c r="C397" t="s">
        <v>379</v>
      </c>
    </row>
    <row r="398" spans="2:3">
      <c r="B398">
        <v>37347</v>
      </c>
      <c r="C398" t="s">
        <v>389</v>
      </c>
    </row>
    <row r="399" spans="2:3">
      <c r="B399">
        <v>37577</v>
      </c>
      <c r="C399" t="s">
        <v>172</v>
      </c>
    </row>
    <row r="400" spans="2:3">
      <c r="B400">
        <v>37577</v>
      </c>
      <c r="C400" t="s">
        <v>464</v>
      </c>
    </row>
    <row r="401" spans="2:3">
      <c r="B401">
        <v>37577</v>
      </c>
      <c r="C401" t="s">
        <v>186</v>
      </c>
    </row>
    <row r="402" spans="2:3">
      <c r="B402">
        <v>37577</v>
      </c>
      <c r="C402" t="s">
        <v>320</v>
      </c>
    </row>
    <row r="403" spans="2:3">
      <c r="B403">
        <v>37623</v>
      </c>
      <c r="C403" t="s">
        <v>108</v>
      </c>
    </row>
    <row r="404" spans="2:3">
      <c r="B404">
        <v>37623</v>
      </c>
      <c r="C404" t="s">
        <v>390</v>
      </c>
    </row>
    <row r="405" spans="2:3">
      <c r="B405">
        <v>37623</v>
      </c>
      <c r="C405" t="s">
        <v>190</v>
      </c>
    </row>
    <row r="406" spans="2:3">
      <c r="B406">
        <v>37623</v>
      </c>
      <c r="C406" t="s">
        <v>318</v>
      </c>
    </row>
    <row r="407" spans="2:3">
      <c r="B407">
        <v>38326</v>
      </c>
      <c r="C407" t="s">
        <v>39</v>
      </c>
    </row>
    <row r="408" spans="2:3">
      <c r="B408">
        <v>38326</v>
      </c>
      <c r="C408" t="s">
        <v>138</v>
      </c>
    </row>
    <row r="409" spans="2:3">
      <c r="B409">
        <v>38326</v>
      </c>
      <c r="C409" t="s">
        <v>200</v>
      </c>
    </row>
    <row r="410" spans="2:3">
      <c r="B410">
        <v>38326</v>
      </c>
      <c r="C410" t="s">
        <v>522</v>
      </c>
    </row>
    <row r="411" spans="2:3">
      <c r="B411">
        <v>38326</v>
      </c>
      <c r="C411" t="s">
        <v>521</v>
      </c>
    </row>
    <row r="412" spans="2:3">
      <c r="B412">
        <v>38368</v>
      </c>
      <c r="C412" t="s">
        <v>64</v>
      </c>
    </row>
    <row r="413" spans="2:3">
      <c r="B413">
        <v>38368</v>
      </c>
      <c r="C413" t="s">
        <v>525</v>
      </c>
    </row>
    <row r="414" spans="2:3">
      <c r="B414">
        <v>38368</v>
      </c>
      <c r="C414" t="s">
        <v>524</v>
      </c>
    </row>
    <row r="415" spans="2:3">
      <c r="B415">
        <v>38368</v>
      </c>
      <c r="C415" t="s">
        <v>294</v>
      </c>
    </row>
    <row r="416" spans="2:3">
      <c r="B416">
        <v>38580</v>
      </c>
      <c r="C416" t="s">
        <v>465</v>
      </c>
    </row>
    <row r="417" spans="2:3">
      <c r="B417">
        <v>38580</v>
      </c>
      <c r="C417" t="s">
        <v>415</v>
      </c>
    </row>
    <row r="418" spans="2:3">
      <c r="B418">
        <v>38580</v>
      </c>
      <c r="C418" t="s">
        <v>625</v>
      </c>
    </row>
    <row r="419" spans="2:3">
      <c r="B419">
        <v>38580</v>
      </c>
      <c r="C419" t="s">
        <v>412</v>
      </c>
    </row>
    <row r="420" spans="2:3">
      <c r="B420">
        <v>38580</v>
      </c>
      <c r="C420" t="s">
        <v>416</v>
      </c>
    </row>
    <row r="421" spans="2:3">
      <c r="B421">
        <v>38580</v>
      </c>
      <c r="C421" t="s">
        <v>413</v>
      </c>
    </row>
    <row r="422" spans="2:3">
      <c r="B422">
        <v>38580</v>
      </c>
      <c r="C422" t="s">
        <v>417</v>
      </c>
    </row>
    <row r="423" spans="2:3">
      <c r="B423">
        <v>38580</v>
      </c>
      <c r="C423" t="s">
        <v>411</v>
      </c>
    </row>
    <row r="424" spans="2:3">
      <c r="B424">
        <v>38653</v>
      </c>
      <c r="C424" t="s">
        <v>526</v>
      </c>
    </row>
    <row r="425" spans="2:3">
      <c r="B425">
        <v>38653</v>
      </c>
      <c r="C425" t="s">
        <v>528</v>
      </c>
    </row>
    <row r="426" spans="2:3">
      <c r="B426">
        <v>38653</v>
      </c>
      <c r="C426" t="s">
        <v>200</v>
      </c>
    </row>
    <row r="427" spans="2:3">
      <c r="B427">
        <v>38653</v>
      </c>
      <c r="C427" t="s">
        <v>507</v>
      </c>
    </row>
    <row r="428" spans="2:3">
      <c r="B428">
        <v>38653</v>
      </c>
      <c r="C428" t="s">
        <v>229</v>
      </c>
    </row>
    <row r="429" spans="2:3">
      <c r="B429">
        <v>38653</v>
      </c>
      <c r="C429" t="s">
        <v>527</v>
      </c>
    </row>
    <row r="430" spans="2:3">
      <c r="B430">
        <v>38827</v>
      </c>
      <c r="C430" t="s">
        <v>36</v>
      </c>
    </row>
    <row r="431" spans="2:3">
      <c r="B431">
        <v>38827</v>
      </c>
      <c r="C431" t="s">
        <v>626</v>
      </c>
    </row>
    <row r="432" spans="2:3">
      <c r="B432">
        <v>38827</v>
      </c>
      <c r="C432" t="s">
        <v>326</v>
      </c>
    </row>
    <row r="433" spans="1:3">
      <c r="B433">
        <v>38877</v>
      </c>
      <c r="C433" t="s">
        <v>154</v>
      </c>
    </row>
    <row r="434" spans="1:3">
      <c r="B434">
        <v>38877</v>
      </c>
      <c r="C434" t="s">
        <v>518</v>
      </c>
    </row>
    <row r="435" spans="1:3">
      <c r="B435">
        <v>38877</v>
      </c>
      <c r="C435" t="s">
        <v>530</v>
      </c>
    </row>
    <row r="436" spans="1:3">
      <c r="B436">
        <v>38877</v>
      </c>
      <c r="C436" t="s">
        <v>529</v>
      </c>
    </row>
    <row r="437" spans="1:3">
      <c r="B437">
        <v>38915</v>
      </c>
      <c r="C437" t="s">
        <v>28</v>
      </c>
    </row>
    <row r="438" spans="1:3">
      <c r="B438">
        <v>38915</v>
      </c>
      <c r="C438" t="s">
        <v>391</v>
      </c>
    </row>
    <row r="439" spans="1:3">
      <c r="B439">
        <v>39256</v>
      </c>
      <c r="C439" t="s">
        <v>163</v>
      </c>
    </row>
    <row r="440" spans="1:3">
      <c r="B440">
        <v>39256</v>
      </c>
      <c r="C440" t="s">
        <v>253</v>
      </c>
    </row>
    <row r="441" spans="1:3">
      <c r="A441" s="3"/>
      <c r="B441" s="3">
        <v>39342</v>
      </c>
      <c r="C441" s="3" t="s">
        <v>628</v>
      </c>
    </row>
    <row r="442" spans="1:3">
      <c r="B442">
        <v>39342</v>
      </c>
      <c r="C442" t="s">
        <v>255</v>
      </c>
    </row>
    <row r="443" spans="1:3">
      <c r="B443">
        <v>39342</v>
      </c>
      <c r="C443" t="s">
        <v>340</v>
      </c>
    </row>
    <row r="444" spans="1:3">
      <c r="B444">
        <v>39369</v>
      </c>
      <c r="C444" t="s">
        <v>420</v>
      </c>
    </row>
    <row r="445" spans="1:3">
      <c r="B445">
        <v>39369</v>
      </c>
      <c r="C445" t="s">
        <v>107</v>
      </c>
    </row>
    <row r="446" spans="1:3">
      <c r="B446">
        <v>39369</v>
      </c>
      <c r="C446" t="s">
        <v>419</v>
      </c>
    </row>
    <row r="447" spans="1:3">
      <c r="B447">
        <v>39369</v>
      </c>
      <c r="C447" t="s">
        <v>276</v>
      </c>
    </row>
    <row r="448" spans="1:3">
      <c r="B448">
        <v>39369</v>
      </c>
      <c r="C448" t="s">
        <v>303</v>
      </c>
    </row>
    <row r="449" spans="2:3">
      <c r="B449">
        <v>39389</v>
      </c>
      <c r="C449" t="s">
        <v>136</v>
      </c>
    </row>
    <row r="450" spans="2:3">
      <c r="B450">
        <v>39389</v>
      </c>
      <c r="C450" t="s">
        <v>630</v>
      </c>
    </row>
    <row r="451" spans="2:3">
      <c r="B451">
        <v>40527</v>
      </c>
      <c r="C451" t="s">
        <v>533</v>
      </c>
    </row>
    <row r="452" spans="2:3">
      <c r="B452">
        <v>40527</v>
      </c>
      <c r="C452" t="s">
        <v>534</v>
      </c>
    </row>
    <row r="453" spans="2:3">
      <c r="B453">
        <v>40527</v>
      </c>
      <c r="C453" t="s">
        <v>532</v>
      </c>
    </row>
    <row r="454" spans="2:3">
      <c r="B454">
        <v>40527</v>
      </c>
      <c r="C454" t="s">
        <v>531</v>
      </c>
    </row>
    <row r="455" spans="2:3">
      <c r="B455">
        <v>41196</v>
      </c>
      <c r="C455" t="s">
        <v>538</v>
      </c>
    </row>
    <row r="456" spans="2:3">
      <c r="B456">
        <v>41196</v>
      </c>
      <c r="C456" t="s">
        <v>537</v>
      </c>
    </row>
    <row r="457" spans="2:3">
      <c r="B457">
        <v>41196</v>
      </c>
      <c r="C457" t="s">
        <v>536</v>
      </c>
    </row>
    <row r="458" spans="2:3">
      <c r="B458">
        <v>41196</v>
      </c>
      <c r="C458" t="s">
        <v>587</v>
      </c>
    </row>
    <row r="459" spans="2:3">
      <c r="B459">
        <v>41196</v>
      </c>
      <c r="C459" t="s">
        <v>670</v>
      </c>
    </row>
    <row r="460" spans="2:3">
      <c r="B460">
        <v>41196</v>
      </c>
      <c r="C460" t="s">
        <v>449</v>
      </c>
    </row>
    <row r="461" spans="2:3">
      <c r="B461">
        <v>41196</v>
      </c>
      <c r="C461" t="s">
        <v>539</v>
      </c>
    </row>
    <row r="462" spans="2:3">
      <c r="B462">
        <v>41630</v>
      </c>
      <c r="C462" t="s">
        <v>542</v>
      </c>
    </row>
    <row r="463" spans="2:3">
      <c r="B463">
        <v>41630</v>
      </c>
      <c r="C463" t="s">
        <v>201</v>
      </c>
    </row>
    <row r="464" spans="2:3">
      <c r="B464">
        <v>41630</v>
      </c>
      <c r="C464" t="s">
        <v>277</v>
      </c>
    </row>
    <row r="465" spans="2:3">
      <c r="B465">
        <v>41630</v>
      </c>
      <c r="C465" t="s">
        <v>541</v>
      </c>
    </row>
    <row r="466" spans="2:3">
      <c r="B466">
        <v>42013</v>
      </c>
      <c r="C466" t="s">
        <v>39</v>
      </c>
    </row>
    <row r="467" spans="2:3">
      <c r="B467">
        <v>42013</v>
      </c>
      <c r="C467" t="s">
        <v>423</v>
      </c>
    </row>
    <row r="468" spans="2:3">
      <c r="B468">
        <v>42013</v>
      </c>
      <c r="C468" t="s">
        <v>424</v>
      </c>
    </row>
    <row r="469" spans="2:3">
      <c r="B469">
        <v>42013</v>
      </c>
      <c r="C469" t="s">
        <v>426</v>
      </c>
    </row>
    <row r="470" spans="2:3">
      <c r="B470">
        <v>42013</v>
      </c>
      <c r="C470" t="s">
        <v>422</v>
      </c>
    </row>
    <row r="471" spans="2:3">
      <c r="B471">
        <v>42013</v>
      </c>
      <c r="C471" t="s">
        <v>228</v>
      </c>
    </row>
    <row r="472" spans="2:3">
      <c r="B472">
        <v>42013</v>
      </c>
      <c r="C472" t="s">
        <v>421</v>
      </c>
    </row>
    <row r="473" spans="2:3">
      <c r="B473">
        <v>42013</v>
      </c>
      <c r="C473" t="s">
        <v>425</v>
      </c>
    </row>
    <row r="474" spans="2:3">
      <c r="B474">
        <v>42013</v>
      </c>
      <c r="C474" t="s">
        <v>288</v>
      </c>
    </row>
    <row r="475" spans="2:3">
      <c r="B475">
        <v>42516</v>
      </c>
      <c r="C475" t="s">
        <v>545</v>
      </c>
    </row>
    <row r="476" spans="2:3">
      <c r="B476">
        <v>42516</v>
      </c>
      <c r="C476" t="s">
        <v>663</v>
      </c>
    </row>
    <row r="477" spans="2:3">
      <c r="B477">
        <v>42516</v>
      </c>
      <c r="C477" t="s">
        <v>544</v>
      </c>
    </row>
    <row r="478" spans="2:3">
      <c r="B478">
        <v>42516</v>
      </c>
      <c r="C478" t="s">
        <v>232</v>
      </c>
    </row>
    <row r="479" spans="2:3">
      <c r="B479">
        <v>42516</v>
      </c>
      <c r="C479" t="s">
        <v>633</v>
      </c>
    </row>
    <row r="480" spans="2:3">
      <c r="B480">
        <v>42516</v>
      </c>
      <c r="C480" t="s">
        <v>519</v>
      </c>
    </row>
    <row r="481" spans="2:3">
      <c r="B481">
        <v>43490</v>
      </c>
      <c r="C481" t="s">
        <v>172</v>
      </c>
    </row>
    <row r="482" spans="2:3">
      <c r="B482">
        <v>43490</v>
      </c>
      <c r="C482" t="s">
        <v>200</v>
      </c>
    </row>
    <row r="483" spans="2:3">
      <c r="B483">
        <v>43490</v>
      </c>
      <c r="C483" t="s">
        <v>381</v>
      </c>
    </row>
    <row r="484" spans="2:3">
      <c r="B484">
        <v>43490</v>
      </c>
      <c r="C484" t="s">
        <v>273</v>
      </c>
    </row>
    <row r="485" spans="2:3">
      <c r="B485">
        <v>43619</v>
      </c>
      <c r="C485" t="s">
        <v>176</v>
      </c>
    </row>
    <row r="486" spans="2:3">
      <c r="B486">
        <v>43619</v>
      </c>
      <c r="C486" t="s">
        <v>427</v>
      </c>
    </row>
    <row r="487" spans="2:3">
      <c r="B487">
        <v>43619</v>
      </c>
      <c r="C487" t="s">
        <v>381</v>
      </c>
    </row>
    <row r="488" spans="2:3">
      <c r="B488">
        <v>43619</v>
      </c>
      <c r="C488" t="s">
        <v>303</v>
      </c>
    </row>
    <row r="489" spans="2:3">
      <c r="B489">
        <v>43632</v>
      </c>
      <c r="C489" t="s">
        <v>546</v>
      </c>
    </row>
    <row r="490" spans="2:3">
      <c r="B490">
        <v>43632</v>
      </c>
      <c r="C490" t="s">
        <v>162</v>
      </c>
    </row>
    <row r="491" spans="2:3">
      <c r="B491">
        <v>43632</v>
      </c>
      <c r="C491" t="s">
        <v>547</v>
      </c>
    </row>
    <row r="492" spans="2:3">
      <c r="B492">
        <v>43632</v>
      </c>
      <c r="C492" t="s">
        <v>394</v>
      </c>
    </row>
    <row r="493" spans="2:3">
      <c r="B493">
        <v>43632</v>
      </c>
      <c r="C493" t="s">
        <v>392</v>
      </c>
    </row>
    <row r="494" spans="2:3">
      <c r="B494">
        <v>43883</v>
      </c>
      <c r="C494" t="s">
        <v>465</v>
      </c>
    </row>
    <row r="495" spans="2:3">
      <c r="B495">
        <v>43883</v>
      </c>
      <c r="C495" t="s">
        <v>466</v>
      </c>
    </row>
    <row r="496" spans="2:3">
      <c r="B496">
        <v>43883</v>
      </c>
      <c r="C496" t="s">
        <v>154</v>
      </c>
    </row>
    <row r="497" spans="2:3">
      <c r="B497">
        <v>43883</v>
      </c>
      <c r="C497" t="s">
        <v>467</v>
      </c>
    </row>
    <row r="498" spans="2:3">
      <c r="B498">
        <v>43883</v>
      </c>
      <c r="C498" t="s">
        <v>380</v>
      </c>
    </row>
    <row r="499" spans="2:3">
      <c r="B499">
        <v>44441</v>
      </c>
      <c r="C499" t="s">
        <v>94</v>
      </c>
    </row>
    <row r="500" spans="2:3">
      <c r="B500">
        <v>44441</v>
      </c>
      <c r="C500" t="s">
        <v>171</v>
      </c>
    </row>
    <row r="501" spans="2:3">
      <c r="B501">
        <v>44441</v>
      </c>
      <c r="C501" t="s">
        <v>392</v>
      </c>
    </row>
    <row r="502" spans="2:3">
      <c r="B502">
        <v>44470</v>
      </c>
      <c r="C502" t="s">
        <v>205</v>
      </c>
    </row>
    <row r="503" spans="2:3">
      <c r="B503">
        <v>45090</v>
      </c>
      <c r="C503" t="s">
        <v>637</v>
      </c>
    </row>
    <row r="504" spans="2:3">
      <c r="B504">
        <v>45090</v>
      </c>
      <c r="C504" t="s">
        <v>306</v>
      </c>
    </row>
    <row r="505" spans="2:3">
      <c r="B505">
        <v>45090</v>
      </c>
      <c r="C505" t="s">
        <v>318</v>
      </c>
    </row>
    <row r="506" spans="2:3">
      <c r="B506">
        <v>47126</v>
      </c>
      <c r="C506" t="s">
        <v>470</v>
      </c>
    </row>
    <row r="507" spans="2:3">
      <c r="B507">
        <v>47126</v>
      </c>
      <c r="C507" t="s">
        <v>465</v>
      </c>
    </row>
    <row r="508" spans="2:3">
      <c r="B508">
        <v>47126</v>
      </c>
      <c r="C508" t="s">
        <v>469</v>
      </c>
    </row>
    <row r="509" spans="2:3">
      <c r="B509">
        <v>47126</v>
      </c>
      <c r="C509" t="s">
        <v>471</v>
      </c>
    </row>
    <row r="510" spans="2:3">
      <c r="B510">
        <v>47126</v>
      </c>
      <c r="C510" t="s">
        <v>201</v>
      </c>
    </row>
    <row r="511" spans="2:3">
      <c r="B511">
        <v>47126</v>
      </c>
      <c r="C511" t="s">
        <v>220</v>
      </c>
    </row>
    <row r="512" spans="2:3">
      <c r="B512">
        <v>47805</v>
      </c>
      <c r="C512" t="s">
        <v>473</v>
      </c>
    </row>
    <row r="513" spans="2:3">
      <c r="B513">
        <v>47805</v>
      </c>
      <c r="C513" t="s">
        <v>172</v>
      </c>
    </row>
    <row r="514" spans="2:3">
      <c r="B514">
        <v>47805</v>
      </c>
      <c r="C514" t="s">
        <v>472</v>
      </c>
    </row>
    <row r="515" spans="2:3">
      <c r="B515">
        <v>48483</v>
      </c>
      <c r="C515" t="s">
        <v>82</v>
      </c>
    </row>
    <row r="516" spans="2:3">
      <c r="B516">
        <v>48483</v>
      </c>
      <c r="C516" t="s">
        <v>394</v>
      </c>
    </row>
    <row r="517" spans="2:3">
      <c r="B517">
        <v>48483</v>
      </c>
      <c r="C517" t="s">
        <v>228</v>
      </c>
    </row>
    <row r="518" spans="2:3">
      <c r="B518">
        <v>48699</v>
      </c>
      <c r="C518" t="s">
        <v>172</v>
      </c>
    </row>
    <row r="519" spans="2:3">
      <c r="B519">
        <v>48699</v>
      </c>
      <c r="C519" t="s">
        <v>230</v>
      </c>
    </row>
    <row r="520" spans="2:3">
      <c r="B520">
        <v>48708</v>
      </c>
      <c r="C520" t="s">
        <v>62</v>
      </c>
    </row>
    <row r="521" spans="2:3">
      <c r="B521">
        <v>48708</v>
      </c>
      <c r="C521" t="s">
        <v>508</v>
      </c>
    </row>
    <row r="522" spans="2:3">
      <c r="B522">
        <v>48708</v>
      </c>
      <c r="C522" t="s">
        <v>94</v>
      </c>
    </row>
    <row r="523" spans="2:3">
      <c r="B523">
        <v>48708</v>
      </c>
      <c r="C523" t="s">
        <v>548</v>
      </c>
    </row>
    <row r="524" spans="2:3">
      <c r="B524">
        <v>48708</v>
      </c>
      <c r="C524" t="s">
        <v>163</v>
      </c>
    </row>
    <row r="525" spans="2:3">
      <c r="B525">
        <v>48708</v>
      </c>
      <c r="C525" t="s">
        <v>188</v>
      </c>
    </row>
    <row r="526" spans="2:3">
      <c r="B526">
        <v>48708</v>
      </c>
      <c r="C526" t="s">
        <v>228</v>
      </c>
    </row>
    <row r="527" spans="2:3">
      <c r="B527">
        <v>48708</v>
      </c>
      <c r="C527" t="s">
        <v>230</v>
      </c>
    </row>
    <row r="528" spans="2:3">
      <c r="B528">
        <v>48708</v>
      </c>
      <c r="C528" t="s">
        <v>549</v>
      </c>
    </row>
    <row r="529" spans="2:3">
      <c r="B529">
        <v>48708</v>
      </c>
      <c r="C529" t="s">
        <v>554</v>
      </c>
    </row>
    <row r="530" spans="2:3">
      <c r="B530">
        <v>48708</v>
      </c>
      <c r="C530" t="s">
        <v>550</v>
      </c>
    </row>
    <row r="531" spans="2:3">
      <c r="B531">
        <v>48708</v>
      </c>
      <c r="C531" t="s">
        <v>551</v>
      </c>
    </row>
    <row r="532" spans="2:3">
      <c r="B532">
        <v>48708</v>
      </c>
      <c r="C532" t="s">
        <v>553</v>
      </c>
    </row>
    <row r="533" spans="2:3">
      <c r="B533">
        <v>49000</v>
      </c>
      <c r="C533" t="s">
        <v>429</v>
      </c>
    </row>
    <row r="534" spans="2:3">
      <c r="B534">
        <v>49978</v>
      </c>
      <c r="C534" t="s">
        <v>434</v>
      </c>
    </row>
    <row r="535" spans="2:3">
      <c r="B535">
        <v>49978</v>
      </c>
      <c r="C535" t="s">
        <v>433</v>
      </c>
    </row>
    <row r="536" spans="2:3">
      <c r="B536">
        <v>49978</v>
      </c>
      <c r="C536" t="s">
        <v>435</v>
      </c>
    </row>
    <row r="537" spans="2:3">
      <c r="B537">
        <v>49978</v>
      </c>
      <c r="C537" t="s">
        <v>674</v>
      </c>
    </row>
    <row r="538" spans="2:3">
      <c r="B538">
        <v>49978</v>
      </c>
      <c r="C538" t="s">
        <v>256</v>
      </c>
    </row>
    <row r="539" spans="2:3">
      <c r="B539">
        <v>49978</v>
      </c>
      <c r="C539" t="s">
        <v>431</v>
      </c>
    </row>
    <row r="540" spans="2:3">
      <c r="B540">
        <v>49978</v>
      </c>
      <c r="C540" t="s">
        <v>432</v>
      </c>
    </row>
    <row r="541" spans="2:3">
      <c r="B541">
        <v>49978</v>
      </c>
      <c r="C541" t="s">
        <v>405</v>
      </c>
    </row>
    <row r="542" spans="2:3">
      <c r="B542">
        <v>49978</v>
      </c>
      <c r="C542" t="s">
        <v>436</v>
      </c>
    </row>
    <row r="543" spans="2:3">
      <c r="B543">
        <v>50146</v>
      </c>
      <c r="C543" t="s">
        <v>439</v>
      </c>
    </row>
    <row r="544" spans="2:3">
      <c r="B544">
        <v>50146</v>
      </c>
      <c r="C544" t="s">
        <v>437</v>
      </c>
    </row>
    <row r="545" spans="2:3">
      <c r="B545">
        <v>50146</v>
      </c>
      <c r="C545" t="s">
        <v>440</v>
      </c>
    </row>
    <row r="546" spans="2:3">
      <c r="B546">
        <v>50146</v>
      </c>
      <c r="C546" t="s">
        <v>438</v>
      </c>
    </row>
    <row r="547" spans="2:3">
      <c r="B547">
        <v>50146</v>
      </c>
      <c r="C547" t="s">
        <v>298</v>
      </c>
    </row>
    <row r="548" spans="2:3">
      <c r="B548">
        <v>50146</v>
      </c>
      <c r="C548" t="s">
        <v>316</v>
      </c>
    </row>
    <row r="549" spans="2:3">
      <c r="B549">
        <v>50146</v>
      </c>
      <c r="C549" t="s">
        <v>318</v>
      </c>
    </row>
    <row r="550" spans="2:3">
      <c r="B550">
        <v>50593</v>
      </c>
      <c r="C550" t="s">
        <v>556</v>
      </c>
    </row>
    <row r="551" spans="2:3">
      <c r="B551">
        <v>50593</v>
      </c>
      <c r="C551" t="s">
        <v>107</v>
      </c>
    </row>
    <row r="552" spans="2:3">
      <c r="B552">
        <v>50593</v>
      </c>
      <c r="C552" t="s">
        <v>200</v>
      </c>
    </row>
    <row r="553" spans="2:3">
      <c r="B553">
        <v>50593</v>
      </c>
      <c r="C553" t="s">
        <v>228</v>
      </c>
    </row>
    <row r="554" spans="2:3">
      <c r="B554">
        <v>50593</v>
      </c>
      <c r="C554" t="s">
        <v>557</v>
      </c>
    </row>
    <row r="555" spans="2:3">
      <c r="B555">
        <v>50890</v>
      </c>
      <c r="C555" t="s">
        <v>168</v>
      </c>
    </row>
    <row r="556" spans="2:3">
      <c r="B556">
        <v>50890</v>
      </c>
      <c r="C556" t="s">
        <v>474</v>
      </c>
    </row>
    <row r="557" spans="2:3">
      <c r="B557">
        <v>50890</v>
      </c>
      <c r="C557" t="s">
        <v>476</v>
      </c>
    </row>
    <row r="558" spans="2:3">
      <c r="B558">
        <v>50890</v>
      </c>
      <c r="C558" t="s">
        <v>475</v>
      </c>
    </row>
    <row r="559" spans="2:3">
      <c r="B559">
        <v>51101</v>
      </c>
      <c r="C559" t="s">
        <v>442</v>
      </c>
    </row>
    <row r="560" spans="2:3">
      <c r="B560">
        <v>51101</v>
      </c>
      <c r="C560" t="s">
        <v>642</v>
      </c>
    </row>
    <row r="561" spans="2:3">
      <c r="B561">
        <v>51101</v>
      </c>
      <c r="C561" t="s">
        <v>264</v>
      </c>
    </row>
    <row r="562" spans="2:3">
      <c r="B562">
        <v>51101</v>
      </c>
      <c r="C562" t="s">
        <v>340</v>
      </c>
    </row>
    <row r="563" spans="2:3">
      <c r="B563">
        <v>51420</v>
      </c>
      <c r="C563" t="s">
        <v>643</v>
      </c>
    </row>
    <row r="564" spans="2:3">
      <c r="B564">
        <v>51420</v>
      </c>
      <c r="C564" t="s">
        <v>77</v>
      </c>
    </row>
    <row r="565" spans="2:3">
      <c r="B565">
        <v>51718</v>
      </c>
      <c r="C565" t="s">
        <v>202</v>
      </c>
    </row>
    <row r="566" spans="2:3">
      <c r="B566">
        <v>51718</v>
      </c>
      <c r="C566" t="s">
        <v>478</v>
      </c>
    </row>
    <row r="567" spans="2:3">
      <c r="B567">
        <v>51718</v>
      </c>
      <c r="C567" t="s">
        <v>477</v>
      </c>
    </row>
    <row r="568" spans="2:3">
      <c r="B568">
        <v>52058</v>
      </c>
      <c r="C568" t="s">
        <v>594</v>
      </c>
    </row>
    <row r="569" spans="2:3">
      <c r="B569">
        <v>52058</v>
      </c>
      <c r="C569" t="s">
        <v>648</v>
      </c>
    </row>
    <row r="570" spans="2:3">
      <c r="B570">
        <v>52058</v>
      </c>
      <c r="C570" t="s">
        <v>479</v>
      </c>
    </row>
    <row r="571" spans="2:3">
      <c r="B571">
        <v>52058</v>
      </c>
      <c r="C571" t="s">
        <v>301</v>
      </c>
    </row>
    <row r="572" spans="2:3">
      <c r="B572">
        <v>52327</v>
      </c>
      <c r="C572" t="s">
        <v>94</v>
      </c>
    </row>
    <row r="573" spans="2:3">
      <c r="B573">
        <v>52327</v>
      </c>
      <c r="C573" t="s">
        <v>444</v>
      </c>
    </row>
    <row r="574" spans="2:3">
      <c r="B574">
        <v>52327</v>
      </c>
      <c r="C574" t="s">
        <v>445</v>
      </c>
    </row>
    <row r="575" spans="2:3">
      <c r="B575">
        <v>52327</v>
      </c>
      <c r="C575" t="s">
        <v>595</v>
      </c>
    </row>
    <row r="576" spans="2:3">
      <c r="B576">
        <v>52327</v>
      </c>
      <c r="C576" t="s">
        <v>480</v>
      </c>
    </row>
    <row r="577" spans="2:3">
      <c r="B577">
        <v>52327</v>
      </c>
      <c r="C577" t="s">
        <v>284</v>
      </c>
    </row>
    <row r="578" spans="2:3">
      <c r="B578">
        <v>52327</v>
      </c>
      <c r="C578" t="s">
        <v>443</v>
      </c>
    </row>
    <row r="579" spans="2:3">
      <c r="B579">
        <v>52432</v>
      </c>
      <c r="C579" t="s">
        <v>560</v>
      </c>
    </row>
    <row r="580" spans="2:3">
      <c r="B580">
        <v>52432</v>
      </c>
      <c r="C580" t="s">
        <v>558</v>
      </c>
    </row>
    <row r="581" spans="2:3">
      <c r="B581">
        <v>52432</v>
      </c>
      <c r="C581" t="s">
        <v>667</v>
      </c>
    </row>
    <row r="582" spans="2:3">
      <c r="B582">
        <v>52432</v>
      </c>
      <c r="C582" t="s">
        <v>559</v>
      </c>
    </row>
    <row r="583" spans="2:3">
      <c r="B583">
        <v>52432</v>
      </c>
      <c r="C583" t="s">
        <v>596</v>
      </c>
    </row>
    <row r="584" spans="2:3">
      <c r="B584">
        <v>52733</v>
      </c>
      <c r="C584" t="s">
        <v>48</v>
      </c>
    </row>
    <row r="585" spans="2:3">
      <c r="B585">
        <v>52733</v>
      </c>
      <c r="C585" t="s">
        <v>395</v>
      </c>
    </row>
    <row r="586" spans="2:3">
      <c r="B586">
        <v>52733</v>
      </c>
      <c r="C586" t="s">
        <v>396</v>
      </c>
    </row>
    <row r="587" spans="2:3">
      <c r="B587">
        <v>52733</v>
      </c>
      <c r="C587" t="s">
        <v>397</v>
      </c>
    </row>
    <row r="588" spans="2:3">
      <c r="B588">
        <v>53347</v>
      </c>
      <c r="C588" t="s">
        <v>561</v>
      </c>
    </row>
    <row r="589" spans="2:3">
      <c r="B589">
        <v>53347</v>
      </c>
      <c r="C589" t="s">
        <v>188</v>
      </c>
    </row>
    <row r="590" spans="2:3">
      <c r="B590">
        <v>53347</v>
      </c>
      <c r="C590" t="s">
        <v>562</v>
      </c>
    </row>
    <row r="591" spans="2:3">
      <c r="B591">
        <v>53572</v>
      </c>
      <c r="C591" t="s">
        <v>36</v>
      </c>
    </row>
    <row r="592" spans="2:3">
      <c r="B592">
        <v>53572</v>
      </c>
      <c r="C592" t="s">
        <v>447</v>
      </c>
    </row>
    <row r="593" spans="2:3">
      <c r="B593">
        <v>53572</v>
      </c>
      <c r="C593" t="s">
        <v>599</v>
      </c>
    </row>
    <row r="594" spans="2:3">
      <c r="B594">
        <v>53572</v>
      </c>
      <c r="C594" t="s">
        <v>446</v>
      </c>
    </row>
    <row r="595" spans="2:3">
      <c r="B595">
        <v>54076</v>
      </c>
      <c r="C595" t="s">
        <v>563</v>
      </c>
    </row>
    <row r="596" spans="2:3">
      <c r="B596">
        <v>54076</v>
      </c>
      <c r="C596" t="s">
        <v>565</v>
      </c>
    </row>
    <row r="597" spans="2:3">
      <c r="B597">
        <v>54076</v>
      </c>
      <c r="C597" t="s">
        <v>267</v>
      </c>
    </row>
    <row r="598" spans="2:3">
      <c r="B598">
        <v>54076</v>
      </c>
      <c r="C598" t="s">
        <v>564</v>
      </c>
    </row>
    <row r="599" spans="2:3">
      <c r="B599">
        <v>54076</v>
      </c>
      <c r="C599" t="s">
        <v>293</v>
      </c>
    </row>
    <row r="600" spans="2:3">
      <c r="B600">
        <v>55450</v>
      </c>
      <c r="C600" t="s">
        <v>569</v>
      </c>
    </row>
    <row r="601" spans="2:3">
      <c r="B601">
        <v>55450</v>
      </c>
      <c r="C601" t="s">
        <v>568</v>
      </c>
    </row>
    <row r="602" spans="2:3">
      <c r="B602">
        <v>55450</v>
      </c>
      <c r="C602" t="s">
        <v>133</v>
      </c>
    </row>
    <row r="603" spans="2:3">
      <c r="B603">
        <v>55450</v>
      </c>
      <c r="C603" t="s">
        <v>668</v>
      </c>
    </row>
    <row r="604" spans="2:3">
      <c r="B604">
        <v>55450</v>
      </c>
      <c r="C604" t="s">
        <v>648</v>
      </c>
    </row>
    <row r="605" spans="2:3">
      <c r="B605">
        <v>55450</v>
      </c>
      <c r="C605" t="s">
        <v>566</v>
      </c>
    </row>
    <row r="606" spans="2:3">
      <c r="B606">
        <v>55450</v>
      </c>
      <c r="C606" t="s">
        <v>567</v>
      </c>
    </row>
    <row r="607" spans="2:3">
      <c r="B607">
        <v>68739</v>
      </c>
      <c r="C607" t="s">
        <v>481</v>
      </c>
    </row>
    <row r="608" spans="2:3">
      <c r="B608">
        <v>68739</v>
      </c>
      <c r="C608" t="s">
        <v>212</v>
      </c>
    </row>
    <row r="609" spans="2:3">
      <c r="B609">
        <v>90313</v>
      </c>
      <c r="C609" t="s">
        <v>450</v>
      </c>
    </row>
    <row r="610" spans="2:3">
      <c r="B610">
        <v>90313</v>
      </c>
      <c r="C610" t="s">
        <v>449</v>
      </c>
    </row>
    <row r="611" spans="2:3">
      <c r="B611">
        <v>90313</v>
      </c>
      <c r="C611" t="s">
        <v>311</v>
      </c>
    </row>
  </sheetData>
  <sortState ref="A2:C611">
    <sortCondition ref="A2:A611"/>
  </sortState>
  <pageMargins left="0.7" right="0.7" top="0.75" bottom="0.75" header="0.3" footer="0.3"/>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L423"/>
  <sheetViews>
    <sheetView workbookViewId="0">
      <selection activeCell="C1" sqref="C1"/>
    </sheetView>
  </sheetViews>
  <sheetFormatPr baseColWidth="10" defaultColWidth="8.83203125" defaultRowHeight="14" x14ac:dyDescent="0"/>
  <cols>
    <col min="3" max="3" width="30.6640625" customWidth="1"/>
    <col min="7" max="7" width="30.6640625" customWidth="1"/>
    <col min="8" max="8" width="23.6640625" customWidth="1"/>
    <col min="9" max="9" width="13.1640625" customWidth="1"/>
    <col min="10" max="10" width="24.6640625" customWidth="1"/>
    <col min="11" max="11" width="13.5" customWidth="1"/>
  </cols>
  <sheetData>
    <row r="1" spans="1:12">
      <c r="A1" s="7" t="s">
        <v>0</v>
      </c>
      <c r="B1" s="7" t="s">
        <v>672</v>
      </c>
      <c r="C1" s="7" t="s">
        <v>716</v>
      </c>
      <c r="D1" s="1" t="s">
        <v>805</v>
      </c>
      <c r="E1" s="1" t="s">
        <v>789</v>
      </c>
      <c r="F1" s="1" t="s">
        <v>1022</v>
      </c>
      <c r="G1" s="1" t="s">
        <v>1041</v>
      </c>
      <c r="H1" s="1" t="s">
        <v>1034</v>
      </c>
      <c r="I1" s="1" t="s">
        <v>1027</v>
      </c>
      <c r="J1" s="1" t="s">
        <v>804</v>
      </c>
      <c r="K1" s="1" t="s">
        <v>1039</v>
      </c>
      <c r="L1" s="1" t="s">
        <v>1040</v>
      </c>
    </row>
    <row r="2" spans="1:12">
      <c r="A2">
        <v>30021</v>
      </c>
      <c r="B2" t="s">
        <v>235</v>
      </c>
      <c r="C2" t="s">
        <v>235</v>
      </c>
      <c r="D2">
        <f t="shared" ref="D2:D33" si="0">LEN(TRIM(C2))-LEN(SUBSTITUTE(C2," ",""))+1</f>
        <v>2</v>
      </c>
      <c r="E2" t="str">
        <f t="shared" ref="E2:E33" si="1">TRIM(RIGHT(SUBSTITUTE(C2," ",REPT(" ",99)),99))</f>
        <v>College</v>
      </c>
      <c r="F2">
        <v>2</v>
      </c>
      <c r="G2" t="s">
        <v>888</v>
      </c>
      <c r="J2" t="str">
        <f t="shared" ref="J2:J34" si="2">IF(MID(TRIM(G2),LEN(TRIM(G2)),1)="*",TRIM(G2),TRIM(G2)&amp;"*")</f>
        <v>Talladega*</v>
      </c>
      <c r="K2" t="str">
        <f t="shared" ref="K2:K65" si="3">"og=("&amp;J2&amp;") OR oo=("&amp;J2&amp;") OR ad=("&amp;J2&amp;")"</f>
        <v>og=(Talladega*) OR oo=(Talladega*) OR ad=(Talladega*)</v>
      </c>
      <c r="L2" t="str">
        <f t="shared" ref="L2:L65" si="4">IF(I2="",K2,"(" &amp; K2 &amp; ") AND ad=(" &amp; I2 &amp; ")")</f>
        <v>og=(Talladega*) OR oo=(Talladega*) OR ad=(Talladega*)</v>
      </c>
    </row>
    <row r="3" spans="1:12" s="7" customFormat="1">
      <c r="A3">
        <v>30021</v>
      </c>
      <c r="B3" t="s">
        <v>242</v>
      </c>
      <c r="C3" t="s">
        <v>242</v>
      </c>
      <c r="D3">
        <f t="shared" si="0"/>
        <v>3</v>
      </c>
      <c r="E3" t="str">
        <f t="shared" si="1"/>
        <v>University</v>
      </c>
      <c r="F3">
        <v>1</v>
      </c>
      <c r="G3" t="s">
        <v>889</v>
      </c>
      <c r="H3"/>
      <c r="I3"/>
      <c r="J3" t="str">
        <f t="shared" si="2"/>
        <v>Tennessee State*</v>
      </c>
      <c r="K3" t="str">
        <f t="shared" si="3"/>
        <v>og=(Tennessee State*) OR oo=(Tennessee State*) OR ad=(Tennessee State*)</v>
      </c>
      <c r="L3" t="str">
        <f t="shared" si="4"/>
        <v>og=(Tennessee State*) OR oo=(Tennessee State*) OR ad=(Tennessee State*)</v>
      </c>
    </row>
    <row r="4" spans="1:12">
      <c r="A4">
        <v>30037</v>
      </c>
      <c r="B4" t="s">
        <v>104</v>
      </c>
      <c r="C4" t="s">
        <v>104</v>
      </c>
      <c r="D4">
        <f t="shared" si="0"/>
        <v>3</v>
      </c>
      <c r="E4" t="str">
        <f t="shared" si="1"/>
        <v>University</v>
      </c>
      <c r="F4">
        <v>1</v>
      </c>
      <c r="G4" t="s">
        <v>890</v>
      </c>
      <c r="J4" t="str">
        <f t="shared" si="2"/>
        <v>Delaware State*</v>
      </c>
      <c r="K4" t="str">
        <f t="shared" si="3"/>
        <v>og=(Delaware State*) OR oo=(Delaware State*) OR ad=(Delaware State*)</v>
      </c>
      <c r="L4" t="str">
        <f t="shared" si="4"/>
        <v>og=(Delaware State*) OR oo=(Delaware State*) OR ad=(Delaware State*)</v>
      </c>
    </row>
    <row r="5" spans="1:12">
      <c r="A5">
        <v>30037</v>
      </c>
      <c r="B5" t="s">
        <v>602</v>
      </c>
      <c r="C5" s="6" t="s">
        <v>428</v>
      </c>
      <c r="D5">
        <f t="shared" si="0"/>
        <v>3</v>
      </c>
      <c r="E5" t="str">
        <f t="shared" si="1"/>
        <v>Illinois</v>
      </c>
      <c r="F5">
        <v>3</v>
      </c>
      <c r="G5" s="6" t="s">
        <v>812</v>
      </c>
      <c r="H5" s="6"/>
      <c r="I5" s="6"/>
      <c r="J5" t="str">
        <f t="shared" si="2"/>
        <v>univ* Illinois*</v>
      </c>
      <c r="K5" t="str">
        <f t="shared" si="3"/>
        <v>og=(univ* Illinois*) OR oo=(univ* Illinois*) OR ad=(univ* Illinois*)</v>
      </c>
      <c r="L5" t="str">
        <f t="shared" si="4"/>
        <v>og=(univ* Illinois*) OR oo=(univ* Illinois*) OR ad=(univ* Illinois*)</v>
      </c>
    </row>
    <row r="6" spans="1:12">
      <c r="A6">
        <v>30056</v>
      </c>
      <c r="B6" t="s">
        <v>310</v>
      </c>
      <c r="C6" s="5" t="s">
        <v>1140</v>
      </c>
      <c r="D6">
        <f t="shared" si="0"/>
        <v>5</v>
      </c>
      <c r="E6" t="str">
        <f t="shared" si="1"/>
        <v>Columbia</v>
      </c>
      <c r="F6">
        <v>3</v>
      </c>
      <c r="G6" t="s">
        <v>1141</v>
      </c>
      <c r="J6" t="str">
        <f t="shared" si="2"/>
        <v>univ* District of Columbia*</v>
      </c>
      <c r="K6" t="str">
        <f t="shared" si="3"/>
        <v>og=(univ* District of Columbia*) OR oo=(univ* District of Columbia*) OR ad=(univ* District of Columbia*)</v>
      </c>
      <c r="L6" t="str">
        <f t="shared" si="4"/>
        <v>og=(univ* District of Columbia*) OR oo=(univ* District of Columbia*) OR ad=(univ* District of Columbia*)</v>
      </c>
    </row>
    <row r="7" spans="1:12">
      <c r="A7">
        <v>30061</v>
      </c>
      <c r="B7" t="s">
        <v>139</v>
      </c>
      <c r="C7" t="s">
        <v>139</v>
      </c>
      <c r="D7">
        <f t="shared" si="0"/>
        <v>2</v>
      </c>
      <c r="E7" t="str">
        <f t="shared" si="1"/>
        <v>University</v>
      </c>
      <c r="F7">
        <v>1</v>
      </c>
      <c r="G7" t="s">
        <v>891</v>
      </c>
      <c r="J7" t="str">
        <f t="shared" si="2"/>
        <v>Howard*</v>
      </c>
      <c r="K7" t="str">
        <f t="shared" si="3"/>
        <v>og=(Howard*) OR oo=(Howard*) OR ad=(Howard*)</v>
      </c>
      <c r="L7" t="str">
        <f t="shared" si="4"/>
        <v>og=(Howard*) OR oo=(Howard*) OR ad=(Howard*)</v>
      </c>
    </row>
    <row r="8" spans="1:12">
      <c r="A8">
        <v>30061</v>
      </c>
      <c r="B8" t="s">
        <v>199</v>
      </c>
      <c r="C8" t="s">
        <v>199</v>
      </c>
      <c r="D8">
        <f t="shared" si="0"/>
        <v>3</v>
      </c>
      <c r="E8" t="str">
        <f t="shared" si="1"/>
        <v>University</v>
      </c>
      <c r="F8">
        <v>1</v>
      </c>
      <c r="G8" t="s">
        <v>892</v>
      </c>
      <c r="J8" t="str">
        <f t="shared" si="2"/>
        <v>Oregon State*</v>
      </c>
      <c r="K8" t="str">
        <f t="shared" si="3"/>
        <v>og=(Oregon State*) OR oo=(Oregon State*) OR ad=(Oregon State*)</v>
      </c>
      <c r="L8" t="str">
        <f t="shared" si="4"/>
        <v>og=(Oregon State*) OR oo=(Oregon State*) OR ad=(Oregon State*)</v>
      </c>
    </row>
    <row r="9" spans="1:12">
      <c r="A9">
        <v>30100</v>
      </c>
      <c r="B9" t="s">
        <v>66</v>
      </c>
      <c r="C9" t="s">
        <v>66</v>
      </c>
      <c r="D9">
        <f t="shared" si="0"/>
        <v>3</v>
      </c>
      <c r="E9" t="str">
        <f t="shared" si="1"/>
        <v>University</v>
      </c>
      <c r="F9">
        <v>1</v>
      </c>
      <c r="G9" t="s">
        <v>893</v>
      </c>
      <c r="J9" t="str">
        <f t="shared" si="2"/>
        <v>Clark Atlanta*</v>
      </c>
      <c r="K9" t="str">
        <f t="shared" si="3"/>
        <v>og=(Clark Atlanta*) OR oo=(Clark Atlanta*) OR ad=(Clark Atlanta*)</v>
      </c>
      <c r="L9" t="str">
        <f t="shared" si="4"/>
        <v>og=(Clark Atlanta*) OR oo=(Clark Atlanta*) OR ad=(Clark Atlanta*)</v>
      </c>
    </row>
    <row r="10" spans="1:12">
      <c r="A10">
        <v>30100</v>
      </c>
      <c r="B10" t="s">
        <v>139</v>
      </c>
      <c r="C10" t="s">
        <v>139</v>
      </c>
      <c r="D10">
        <f t="shared" si="0"/>
        <v>2</v>
      </c>
      <c r="E10" t="str">
        <f t="shared" si="1"/>
        <v>University</v>
      </c>
      <c r="F10">
        <v>1</v>
      </c>
      <c r="G10" t="s">
        <v>891</v>
      </c>
      <c r="J10" t="str">
        <f t="shared" si="2"/>
        <v>Howard*</v>
      </c>
      <c r="K10" t="str">
        <f t="shared" si="3"/>
        <v>og=(Howard*) OR oo=(Howard*) OR ad=(Howard*)</v>
      </c>
      <c r="L10" t="str">
        <f t="shared" si="4"/>
        <v>og=(Howard*) OR oo=(Howard*) OR ad=(Howard*)</v>
      </c>
    </row>
    <row r="11" spans="1:12">
      <c r="A11">
        <v>30192</v>
      </c>
      <c r="B11" t="s">
        <v>337</v>
      </c>
      <c r="C11" t="s">
        <v>336</v>
      </c>
      <c r="D11">
        <f t="shared" si="0"/>
        <v>2</v>
      </c>
      <c r="E11" t="str">
        <f t="shared" si="1"/>
        <v>University</v>
      </c>
      <c r="F11">
        <v>1</v>
      </c>
      <c r="G11" t="s">
        <v>894</v>
      </c>
      <c r="J11" t="str">
        <f t="shared" si="2"/>
        <v>Xavier*</v>
      </c>
      <c r="K11" t="str">
        <f t="shared" si="3"/>
        <v>og=(Xavier*) OR oo=(Xavier*) OR ad=(Xavier*)</v>
      </c>
      <c r="L11" t="str">
        <f t="shared" si="4"/>
        <v>og=(Xavier*) OR oo=(Xavier*) OR ad=(Xavier*)</v>
      </c>
    </row>
    <row r="12" spans="1:12">
      <c r="A12">
        <v>30222</v>
      </c>
      <c r="B12" t="s">
        <v>86</v>
      </c>
      <c r="C12" t="s">
        <v>86</v>
      </c>
      <c r="D12">
        <f t="shared" si="0"/>
        <v>3</v>
      </c>
      <c r="E12" t="str">
        <f t="shared" si="1"/>
        <v>University</v>
      </c>
      <c r="F12">
        <v>1</v>
      </c>
      <c r="G12" t="s">
        <v>884</v>
      </c>
      <c r="J12" t="str">
        <f t="shared" si="2"/>
        <v>Coppin State*</v>
      </c>
      <c r="K12" t="str">
        <f t="shared" si="3"/>
        <v>og=(Coppin State*) OR oo=(Coppin State*) OR ad=(Coppin State*)</v>
      </c>
      <c r="L12" t="str">
        <f t="shared" si="4"/>
        <v>og=(Coppin State*) OR oo=(Coppin State*) OR ad=(Coppin State*)</v>
      </c>
    </row>
    <row r="13" spans="1:12">
      <c r="A13">
        <v>30341</v>
      </c>
      <c r="B13" t="s">
        <v>108</v>
      </c>
      <c r="C13" t="s">
        <v>108</v>
      </c>
      <c r="D13">
        <f t="shared" si="0"/>
        <v>3</v>
      </c>
      <c r="E13" t="str">
        <f t="shared" si="1"/>
        <v>University</v>
      </c>
      <c r="F13">
        <v>1</v>
      </c>
      <c r="G13" t="s">
        <v>895</v>
      </c>
      <c r="J13" t="str">
        <f t="shared" si="2"/>
        <v>East Carolina*</v>
      </c>
      <c r="K13" t="str">
        <f t="shared" si="3"/>
        <v>og=(East Carolina*) OR oo=(East Carolina*) OR ad=(East Carolina*)</v>
      </c>
      <c r="L13" t="str">
        <f t="shared" si="4"/>
        <v>og=(East Carolina*) OR oo=(East Carolina*) OR ad=(East Carolina*)</v>
      </c>
    </row>
    <row r="14" spans="1:12">
      <c r="A14">
        <v>30341</v>
      </c>
      <c r="B14" t="s">
        <v>116</v>
      </c>
      <c r="C14" t="s">
        <v>116</v>
      </c>
      <c r="D14">
        <f t="shared" si="0"/>
        <v>3</v>
      </c>
      <c r="E14" t="str">
        <f t="shared" si="1"/>
        <v>University</v>
      </c>
      <c r="F14">
        <v>1</v>
      </c>
      <c r="G14" t="s">
        <v>896</v>
      </c>
      <c r="J14" t="str">
        <f t="shared" si="2"/>
        <v>Fayetteville State*</v>
      </c>
      <c r="K14" t="str">
        <f t="shared" si="3"/>
        <v>og=(Fayetteville State*) OR oo=(Fayetteville State*) OR ad=(Fayetteville State*)</v>
      </c>
      <c r="L14" t="str">
        <f t="shared" si="4"/>
        <v>og=(Fayetteville State*) OR oo=(Fayetteville State*) OR ad=(Fayetteville State*)</v>
      </c>
    </row>
    <row r="15" spans="1:12">
      <c r="A15">
        <v>30341</v>
      </c>
      <c r="B15" t="s">
        <v>190</v>
      </c>
      <c r="C15" t="s">
        <v>190</v>
      </c>
      <c r="D15">
        <f t="shared" si="0"/>
        <v>4</v>
      </c>
      <c r="E15" t="str">
        <f t="shared" si="1"/>
        <v>University</v>
      </c>
      <c r="F15">
        <v>1</v>
      </c>
      <c r="G15" t="s">
        <v>897</v>
      </c>
      <c r="J15" t="str">
        <f t="shared" si="2"/>
        <v>North Carolina State*</v>
      </c>
      <c r="K15" t="str">
        <f t="shared" si="3"/>
        <v>og=(North Carolina State*) OR oo=(North Carolina State*) OR ad=(North Carolina State*)</v>
      </c>
      <c r="L15" t="str">
        <f t="shared" si="4"/>
        <v>og=(North Carolina State*) OR oo=(North Carolina State*) OR ad=(North Carolina State*)</v>
      </c>
    </row>
    <row r="16" spans="1:12">
      <c r="A16">
        <v>30364</v>
      </c>
      <c r="B16" t="s">
        <v>121</v>
      </c>
      <c r="C16" t="s">
        <v>121</v>
      </c>
      <c r="D16">
        <f t="shared" si="0"/>
        <v>2</v>
      </c>
      <c r="E16" t="str">
        <f t="shared" si="1"/>
        <v>University</v>
      </c>
      <c r="F16">
        <v>1</v>
      </c>
      <c r="G16" t="s">
        <v>898</v>
      </c>
      <c r="J16" t="str">
        <f t="shared" si="2"/>
        <v>Fisk*</v>
      </c>
      <c r="K16" t="str">
        <f t="shared" si="3"/>
        <v>og=(Fisk*) OR oo=(Fisk*) OR ad=(Fisk*)</v>
      </c>
      <c r="L16" t="str">
        <f t="shared" si="4"/>
        <v>og=(Fisk*) OR oo=(Fisk*) OR ad=(Fisk*)</v>
      </c>
    </row>
    <row r="17" spans="1:12">
      <c r="A17">
        <v>30364</v>
      </c>
      <c r="B17" t="s">
        <v>651</v>
      </c>
      <c r="C17" t="s">
        <v>651</v>
      </c>
      <c r="D17">
        <f t="shared" si="0"/>
        <v>5</v>
      </c>
      <c r="E17" t="str">
        <f t="shared" si="1"/>
        <v>University</v>
      </c>
      <c r="F17">
        <v>1</v>
      </c>
      <c r="G17" t="s">
        <v>899</v>
      </c>
      <c r="J17" t="str">
        <f t="shared" si="2"/>
        <v>North Carolina A&amp;T State*</v>
      </c>
      <c r="K17" t="str">
        <f t="shared" si="3"/>
        <v>og=(North Carolina A&amp;T State*) OR oo=(North Carolina A&amp;T State*) OR ad=(North Carolina A&amp;T State*)</v>
      </c>
      <c r="L17" t="str">
        <f t="shared" si="4"/>
        <v>og=(North Carolina A&amp;T State*) OR oo=(North Carolina A&amp;T State*) OR ad=(North Carolina A&amp;T State*)</v>
      </c>
    </row>
    <row r="18" spans="1:12">
      <c r="A18">
        <v>30364</v>
      </c>
      <c r="B18" t="s">
        <v>572</v>
      </c>
      <c r="C18" t="s">
        <v>651</v>
      </c>
      <c r="D18">
        <f t="shared" si="0"/>
        <v>5</v>
      </c>
      <c r="E18" t="str">
        <f t="shared" si="1"/>
        <v>University</v>
      </c>
      <c r="F18">
        <v>1</v>
      </c>
      <c r="G18" t="s">
        <v>899</v>
      </c>
      <c r="J18" t="str">
        <f t="shared" si="2"/>
        <v>North Carolina A&amp;T State*</v>
      </c>
      <c r="K18" t="str">
        <f t="shared" si="3"/>
        <v>og=(North Carolina A&amp;T State*) OR oo=(North Carolina A&amp;T State*) OR ad=(North Carolina A&amp;T State*)</v>
      </c>
      <c r="L18" t="str">
        <f t="shared" si="4"/>
        <v>og=(North Carolina A&amp;T State*) OR oo=(North Carolina A&amp;T State*) OR ad=(North Carolina A&amp;T State*)</v>
      </c>
    </row>
    <row r="19" spans="1:12">
      <c r="A19">
        <v>30364</v>
      </c>
      <c r="B19" t="s">
        <v>318</v>
      </c>
      <c r="C19" t="s">
        <v>318</v>
      </c>
      <c r="D19">
        <f t="shared" si="0"/>
        <v>3</v>
      </c>
      <c r="E19" t="str">
        <f t="shared" si="1"/>
        <v>Virginia</v>
      </c>
      <c r="F19">
        <v>3</v>
      </c>
      <c r="G19" t="s">
        <v>813</v>
      </c>
      <c r="J19" t="str">
        <f t="shared" si="2"/>
        <v>univ* Virginia*</v>
      </c>
      <c r="K19" t="str">
        <f t="shared" si="3"/>
        <v>og=(univ* Virginia*) OR oo=(univ* Virginia*) OR ad=(univ* Virginia*)</v>
      </c>
      <c r="L19" t="str">
        <f t="shared" si="4"/>
        <v>og=(univ* Virginia*) OR oo=(univ* Virginia*) OR ad=(univ* Virginia*)</v>
      </c>
    </row>
    <row r="20" spans="1:12">
      <c r="A20">
        <v>30364</v>
      </c>
      <c r="B20" t="s">
        <v>323</v>
      </c>
      <c r="C20" t="s">
        <v>323</v>
      </c>
      <c r="D20">
        <f t="shared" si="0"/>
        <v>3</v>
      </c>
      <c r="E20" t="str">
        <f t="shared" si="1"/>
        <v>University</v>
      </c>
      <c r="F20">
        <v>1</v>
      </c>
      <c r="G20" t="s">
        <v>900</v>
      </c>
      <c r="J20" t="str">
        <f t="shared" si="2"/>
        <v>Virginia Union*</v>
      </c>
      <c r="K20" t="str">
        <f t="shared" si="3"/>
        <v>og=(Virginia Union*) OR oo=(Virginia Union*) OR ad=(Virginia Union*)</v>
      </c>
      <c r="L20" t="str">
        <f t="shared" si="4"/>
        <v>og=(Virginia Union*) OR oo=(Virginia Union*) OR ad=(Virginia Union*)</v>
      </c>
    </row>
    <row r="21" spans="1:12">
      <c r="A21">
        <v>30422</v>
      </c>
      <c r="B21" t="s">
        <v>164</v>
      </c>
      <c r="C21" t="s">
        <v>164</v>
      </c>
      <c r="D21">
        <f t="shared" si="0"/>
        <v>2</v>
      </c>
      <c r="E21" t="str">
        <f t="shared" si="1"/>
        <v>College</v>
      </c>
      <c r="F21">
        <v>2</v>
      </c>
      <c r="G21" t="s">
        <v>901</v>
      </c>
      <c r="J21" t="str">
        <f t="shared" si="2"/>
        <v>Lane*</v>
      </c>
      <c r="K21" t="str">
        <f t="shared" si="3"/>
        <v>og=(Lane*) OR oo=(Lane*) OR ad=(Lane*)</v>
      </c>
      <c r="L21" t="str">
        <f t="shared" si="4"/>
        <v>og=(Lane*) OR oo=(Lane*) OR ad=(Lane*)</v>
      </c>
    </row>
    <row r="22" spans="1:12">
      <c r="A22">
        <v>30422</v>
      </c>
      <c r="B22" t="s">
        <v>255</v>
      </c>
      <c r="C22" s="5" t="s">
        <v>536</v>
      </c>
      <c r="D22">
        <f t="shared" si="0"/>
        <v>3</v>
      </c>
      <c r="E22" t="str">
        <f t="shared" si="1"/>
        <v>Alabama</v>
      </c>
      <c r="F22">
        <v>3</v>
      </c>
      <c r="G22" s="5" t="s">
        <v>814</v>
      </c>
      <c r="H22" s="5"/>
      <c r="I22" s="5"/>
      <c r="J22" t="str">
        <f t="shared" si="2"/>
        <v>univ* Alabama*</v>
      </c>
      <c r="K22" t="str">
        <f t="shared" si="3"/>
        <v>og=(univ* Alabama*) OR oo=(univ* Alabama*) OR ad=(univ* Alabama*)</v>
      </c>
      <c r="L22" t="str">
        <f t="shared" si="4"/>
        <v>og=(univ* Alabama*) OR oo=(univ* Alabama*) OR ad=(univ* Alabama*)</v>
      </c>
    </row>
    <row r="23" spans="1:12">
      <c r="A23">
        <v>30442</v>
      </c>
      <c r="B23" t="s">
        <v>604</v>
      </c>
      <c r="C23" t="s">
        <v>451</v>
      </c>
      <c r="D23">
        <f t="shared" si="0"/>
        <v>3</v>
      </c>
      <c r="E23" t="str">
        <f t="shared" si="1"/>
        <v>University</v>
      </c>
      <c r="F23">
        <v>1</v>
      </c>
      <c r="G23" t="s">
        <v>902</v>
      </c>
      <c r="J23" t="str">
        <f t="shared" si="2"/>
        <v>Louisiana State*</v>
      </c>
      <c r="K23" t="str">
        <f t="shared" si="3"/>
        <v>og=(Louisiana State*) OR oo=(Louisiana State*) OR ad=(Louisiana State*)</v>
      </c>
      <c r="L23" t="str">
        <f t="shared" si="4"/>
        <v>og=(Louisiana State*) OR oo=(Louisiana State*) OR ad=(Louisiana State*)</v>
      </c>
    </row>
    <row r="24" spans="1:12">
      <c r="A24">
        <v>30442</v>
      </c>
      <c r="B24" t="s">
        <v>451</v>
      </c>
      <c r="C24" t="s">
        <v>451</v>
      </c>
      <c r="D24">
        <f t="shared" si="0"/>
        <v>3</v>
      </c>
      <c r="E24" t="str">
        <f t="shared" si="1"/>
        <v>University</v>
      </c>
      <c r="F24">
        <v>1</v>
      </c>
      <c r="G24" t="s">
        <v>902</v>
      </c>
      <c r="J24" t="str">
        <f t="shared" si="2"/>
        <v>Louisiana State*</v>
      </c>
      <c r="K24" t="str">
        <f t="shared" si="3"/>
        <v>og=(Louisiana State*) OR oo=(Louisiana State*) OR ad=(Louisiana State*)</v>
      </c>
      <c r="L24" t="str">
        <f t="shared" si="4"/>
        <v>og=(Louisiana State*) OR oo=(Louisiana State*) OR ad=(Louisiana State*)</v>
      </c>
    </row>
    <row r="25" spans="1:12">
      <c r="A25">
        <v>30442</v>
      </c>
      <c r="B25" t="s">
        <v>452</v>
      </c>
      <c r="C25" t="s">
        <v>452</v>
      </c>
      <c r="D25">
        <f t="shared" si="0"/>
        <v>2</v>
      </c>
      <c r="E25" t="str">
        <f t="shared" si="1"/>
        <v>University</v>
      </c>
      <c r="F25">
        <v>1</v>
      </c>
      <c r="G25" t="s">
        <v>903</v>
      </c>
      <c r="J25" t="str">
        <f t="shared" si="2"/>
        <v>Punjab*</v>
      </c>
      <c r="K25" t="str">
        <f t="shared" si="3"/>
        <v>og=(Punjab*) OR oo=(Punjab*) OR ad=(Punjab*)</v>
      </c>
      <c r="L25" t="str">
        <f t="shared" si="4"/>
        <v>og=(Punjab*) OR oo=(Punjab*) OR ad=(Punjab*)</v>
      </c>
    </row>
    <row r="26" spans="1:12">
      <c r="A26">
        <v>30442</v>
      </c>
      <c r="B26" t="s">
        <v>242</v>
      </c>
      <c r="C26" t="s">
        <v>242</v>
      </c>
      <c r="D26">
        <f t="shared" si="0"/>
        <v>3</v>
      </c>
      <c r="E26" t="str">
        <f t="shared" si="1"/>
        <v>University</v>
      </c>
      <c r="F26">
        <v>1</v>
      </c>
      <c r="G26" t="s">
        <v>889</v>
      </c>
      <c r="J26" t="str">
        <f t="shared" si="2"/>
        <v>Tennessee State*</v>
      </c>
      <c r="K26" t="str">
        <f t="shared" si="3"/>
        <v>og=(Tennessee State*) OR oo=(Tennessee State*) OR ad=(Tennessee State*)</v>
      </c>
      <c r="L26" t="str">
        <f t="shared" si="4"/>
        <v>og=(Tennessee State*) OR oo=(Tennessee State*) OR ad=(Tennessee State*)</v>
      </c>
    </row>
    <row r="27" spans="1:12">
      <c r="A27">
        <v>30651</v>
      </c>
      <c r="B27" t="s">
        <v>671</v>
      </c>
      <c r="C27" t="s">
        <v>482</v>
      </c>
      <c r="D27">
        <f t="shared" si="0"/>
        <v>3</v>
      </c>
      <c r="E27" t="str">
        <f t="shared" si="1"/>
        <v>University</v>
      </c>
      <c r="F27">
        <v>1</v>
      </c>
      <c r="G27" t="s">
        <v>904</v>
      </c>
      <c r="J27" t="str">
        <f t="shared" si="2"/>
        <v>Florida A&amp;M*</v>
      </c>
      <c r="K27" t="str">
        <f t="shared" si="3"/>
        <v>og=(Florida A&amp;M*) OR oo=(Florida A&amp;M*) OR ad=(Florida A&amp;M*)</v>
      </c>
      <c r="L27" t="str">
        <f t="shared" si="4"/>
        <v>og=(Florida A&amp;M*) OR oo=(Florida A&amp;M*) OR ad=(Florida A&amp;M*)</v>
      </c>
    </row>
    <row r="28" spans="1:12">
      <c r="A28">
        <v>30651</v>
      </c>
      <c r="B28" t="s">
        <v>130</v>
      </c>
      <c r="C28" t="s">
        <v>130</v>
      </c>
      <c r="D28">
        <f t="shared" si="0"/>
        <v>3</v>
      </c>
      <c r="E28" t="str">
        <f t="shared" si="1"/>
        <v>University</v>
      </c>
      <c r="F28">
        <v>1</v>
      </c>
      <c r="G28" t="s">
        <v>905</v>
      </c>
      <c r="J28" t="str">
        <f t="shared" si="2"/>
        <v>Florida State*</v>
      </c>
      <c r="K28" t="str">
        <f t="shared" si="3"/>
        <v>og=(Florida State*) OR oo=(Florida State*) OR ad=(Florida State*)</v>
      </c>
      <c r="L28" t="str">
        <f t="shared" si="4"/>
        <v>og=(Florida State*) OR oo=(Florida State*) OR ad=(Florida State*)</v>
      </c>
    </row>
    <row r="29" spans="1:12">
      <c r="A29">
        <v>30651</v>
      </c>
      <c r="B29" t="s">
        <v>158</v>
      </c>
      <c r="C29" t="s">
        <v>158</v>
      </c>
      <c r="D29">
        <f t="shared" si="0"/>
        <v>3</v>
      </c>
      <c r="E29" t="str">
        <f t="shared" si="1"/>
        <v>University</v>
      </c>
      <c r="F29">
        <v>1</v>
      </c>
      <c r="G29" t="s">
        <v>906</v>
      </c>
      <c r="J29" t="str">
        <f t="shared" si="2"/>
        <v>Jackson State*</v>
      </c>
      <c r="K29" t="str">
        <f t="shared" si="3"/>
        <v>og=(Jackson State*) OR oo=(Jackson State*) OR ad=(Jackson State*)</v>
      </c>
      <c r="L29" t="str">
        <f t="shared" si="4"/>
        <v>og=(Jackson State*) OR oo=(Jackson State*) OR ad=(Jackson State*)</v>
      </c>
    </row>
    <row r="30" spans="1:12">
      <c r="A30">
        <v>30651</v>
      </c>
      <c r="B30" t="s">
        <v>605</v>
      </c>
      <c r="C30" s="5" t="s">
        <v>883</v>
      </c>
      <c r="D30">
        <f t="shared" si="0"/>
        <v>4</v>
      </c>
      <c r="E30" t="str">
        <f t="shared" si="1"/>
        <v>Poland</v>
      </c>
      <c r="F30">
        <v>0</v>
      </c>
      <c r="G30" t="s">
        <v>883</v>
      </c>
      <c r="J30" t="str">
        <f t="shared" si="2"/>
        <v>Technical University in Poland*</v>
      </c>
      <c r="K30" t="str">
        <f t="shared" si="3"/>
        <v>og=(Technical University in Poland*) OR oo=(Technical University in Poland*) OR ad=(Technical University in Poland*)</v>
      </c>
      <c r="L30" t="str">
        <f t="shared" si="4"/>
        <v>og=(Technical University in Poland*) OR oo=(Technical University in Poland*) OR ad=(Technical University in Poland*)</v>
      </c>
    </row>
    <row r="31" spans="1:12">
      <c r="A31">
        <v>30651</v>
      </c>
      <c r="B31" t="s">
        <v>276</v>
      </c>
      <c r="C31" t="s">
        <v>276</v>
      </c>
      <c r="D31">
        <f t="shared" si="0"/>
        <v>3</v>
      </c>
      <c r="E31" t="str">
        <f t="shared" si="1"/>
        <v>Florida</v>
      </c>
      <c r="F31">
        <v>3</v>
      </c>
      <c r="G31" t="s">
        <v>815</v>
      </c>
      <c r="J31" t="str">
        <f t="shared" si="2"/>
        <v>univ* Florida*</v>
      </c>
      <c r="K31" t="str">
        <f t="shared" si="3"/>
        <v>og=(univ* Florida*) OR oo=(univ* Florida*) OR ad=(univ* Florida*)</v>
      </c>
      <c r="L31" t="str">
        <f t="shared" si="4"/>
        <v>og=(univ* Florida*) OR oo=(univ* Florida*) OR ad=(univ* Florida*)</v>
      </c>
    </row>
    <row r="32" spans="1:12">
      <c r="A32">
        <v>30701</v>
      </c>
      <c r="B32" t="s">
        <v>452</v>
      </c>
      <c r="C32" t="s">
        <v>452</v>
      </c>
      <c r="D32">
        <f t="shared" si="0"/>
        <v>2</v>
      </c>
      <c r="E32" t="str">
        <f t="shared" si="1"/>
        <v>University</v>
      </c>
      <c r="F32">
        <v>1</v>
      </c>
      <c r="G32" t="s">
        <v>903</v>
      </c>
      <c r="J32" t="str">
        <f t="shared" si="2"/>
        <v>Punjab*</v>
      </c>
      <c r="K32" t="str">
        <f t="shared" si="3"/>
        <v>og=(Punjab*) OR oo=(Punjab*) OR ad=(Punjab*)</v>
      </c>
      <c r="L32" t="str">
        <f t="shared" si="4"/>
        <v>og=(Punjab*) OR oo=(Punjab*) OR ad=(Punjab*)</v>
      </c>
    </row>
    <row r="33" spans="1:12">
      <c r="A33">
        <v>30701</v>
      </c>
      <c r="B33" t="s">
        <v>235</v>
      </c>
      <c r="C33" t="s">
        <v>235</v>
      </c>
      <c r="D33">
        <f t="shared" si="0"/>
        <v>2</v>
      </c>
      <c r="E33" t="str">
        <f t="shared" si="1"/>
        <v>College</v>
      </c>
      <c r="F33">
        <v>2</v>
      </c>
      <c r="G33" t="s">
        <v>888</v>
      </c>
      <c r="J33" t="str">
        <f t="shared" si="2"/>
        <v>Talladega*</v>
      </c>
      <c r="K33" t="str">
        <f t="shared" si="3"/>
        <v>og=(Talladega*) OR oo=(Talladega*) OR ad=(Talladega*)</v>
      </c>
      <c r="L33" t="str">
        <f t="shared" si="4"/>
        <v>og=(Talladega*) OR oo=(Talladega*) OR ad=(Talladega*)</v>
      </c>
    </row>
    <row r="34" spans="1:12">
      <c r="A34">
        <v>30758</v>
      </c>
      <c r="B34" t="s">
        <v>139</v>
      </c>
      <c r="C34" t="s">
        <v>139</v>
      </c>
      <c r="D34">
        <f t="shared" ref="D34:D65" si="5">LEN(TRIM(C34))-LEN(SUBSTITUTE(C34," ",""))+1</f>
        <v>2</v>
      </c>
      <c r="E34" t="str">
        <f t="shared" ref="E34:E65" si="6">TRIM(RIGHT(SUBSTITUTE(C34," ",REPT(" ",99)),99))</f>
        <v>University</v>
      </c>
      <c r="F34">
        <v>1</v>
      </c>
      <c r="G34" t="s">
        <v>891</v>
      </c>
      <c r="J34" t="str">
        <f t="shared" si="2"/>
        <v>Howard*</v>
      </c>
      <c r="K34" t="str">
        <f t="shared" si="3"/>
        <v>og=(Howard*) OR oo=(Howard*) OR ad=(Howard*)</v>
      </c>
      <c r="L34" t="str">
        <f t="shared" si="4"/>
        <v>og=(Howard*) OR oo=(Howard*) OR ad=(Howard*)</v>
      </c>
    </row>
    <row r="35" spans="1:12">
      <c r="A35">
        <v>30758</v>
      </c>
      <c r="B35" t="s">
        <v>606</v>
      </c>
      <c r="C35" t="s">
        <v>392</v>
      </c>
      <c r="D35">
        <f t="shared" si="5"/>
        <v>4</v>
      </c>
      <c r="E35" t="str">
        <f t="shared" si="6"/>
        <v>Berkeley</v>
      </c>
      <c r="F35" t="s">
        <v>1036</v>
      </c>
      <c r="G35" t="s">
        <v>816</v>
      </c>
      <c r="H35" t="str">
        <f>TRIM(LEFT(SUBSTITUTE(G35,",",REPT(" ",99)),99))</f>
        <v>univ* California</v>
      </c>
      <c r="I35" t="str">
        <f>TRIM(RIGHT(SUBSTITUTE(C35,",",REPT(" ",99)),99))</f>
        <v>Berkeley</v>
      </c>
      <c r="J35" t="str">
        <f>IF(MID(TRIM(H35),LEN(TRIM(H35)),1)="*",TRIM(H35),TRIM(H35)&amp;"*")</f>
        <v>univ* California*</v>
      </c>
      <c r="K35" t="str">
        <f t="shared" si="3"/>
        <v>og=(univ* California*) OR oo=(univ* California*) OR ad=(univ* California*)</v>
      </c>
      <c r="L35" t="str">
        <f t="shared" si="4"/>
        <v>(og=(univ* California*) OR oo=(univ* California*) OR ad=(univ* California*)) AND ad=(Berkeley)</v>
      </c>
    </row>
    <row r="36" spans="1:12">
      <c r="A36">
        <v>30794</v>
      </c>
      <c r="B36" t="s">
        <v>38</v>
      </c>
      <c r="C36" t="s">
        <v>38</v>
      </c>
      <c r="D36">
        <f t="shared" si="5"/>
        <v>2</v>
      </c>
      <c r="E36" t="str">
        <f t="shared" si="6"/>
        <v>University</v>
      </c>
      <c r="F36">
        <v>1</v>
      </c>
      <c r="G36" t="s">
        <v>907</v>
      </c>
      <c r="J36" t="str">
        <f t="shared" ref="J36:J42" si="7">IF(MID(TRIM(G36),LEN(TRIM(G36)),1)="*",TRIM(G36),TRIM(G36)&amp;"*")</f>
        <v>Brown*</v>
      </c>
      <c r="K36" t="str">
        <f t="shared" si="3"/>
        <v>og=(Brown*) OR oo=(Brown*) OR ad=(Brown*)</v>
      </c>
      <c r="L36" t="str">
        <f t="shared" si="4"/>
        <v>og=(Brown*) OR oo=(Brown*) OR ad=(Brown*)</v>
      </c>
    </row>
    <row r="37" spans="1:12">
      <c r="A37">
        <v>30794</v>
      </c>
      <c r="B37" t="s">
        <v>71</v>
      </c>
      <c r="C37" t="s">
        <v>71</v>
      </c>
      <c r="D37">
        <f t="shared" si="5"/>
        <v>3</v>
      </c>
      <c r="E37" t="str">
        <f t="shared" si="6"/>
        <v>University</v>
      </c>
      <c r="F37">
        <v>1</v>
      </c>
      <c r="G37" t="s">
        <v>908</v>
      </c>
      <c r="J37" t="str">
        <f t="shared" si="7"/>
        <v>Cleveland State*</v>
      </c>
      <c r="K37" t="str">
        <f t="shared" si="3"/>
        <v>og=(Cleveland State*) OR oo=(Cleveland State*) OR ad=(Cleveland State*)</v>
      </c>
      <c r="L37" t="str">
        <f t="shared" si="4"/>
        <v>og=(Cleveland State*) OR oo=(Cleveland State*) OR ad=(Cleveland State*)</v>
      </c>
    </row>
    <row r="38" spans="1:12">
      <c r="A38">
        <v>30794</v>
      </c>
      <c r="B38" t="s">
        <v>107</v>
      </c>
      <c r="C38" t="s">
        <v>107</v>
      </c>
      <c r="D38">
        <f t="shared" si="5"/>
        <v>2</v>
      </c>
      <c r="E38" t="str">
        <f t="shared" si="6"/>
        <v>University</v>
      </c>
      <c r="F38">
        <v>1</v>
      </c>
      <c r="G38" t="s">
        <v>909</v>
      </c>
      <c r="J38" t="str">
        <f t="shared" si="7"/>
        <v>Duke*</v>
      </c>
      <c r="K38" t="str">
        <f t="shared" si="3"/>
        <v>og=(Duke*) OR oo=(Duke*) OR ad=(Duke*)</v>
      </c>
      <c r="L38" t="str">
        <f t="shared" si="4"/>
        <v>og=(Duke*) OR oo=(Duke*) OR ad=(Duke*)</v>
      </c>
    </row>
    <row r="39" spans="1:12">
      <c r="A39">
        <v>30794</v>
      </c>
      <c r="B39" t="s">
        <v>122</v>
      </c>
      <c r="C39" t="s">
        <v>482</v>
      </c>
      <c r="D39">
        <f t="shared" si="5"/>
        <v>3</v>
      </c>
      <c r="E39" t="str">
        <f t="shared" si="6"/>
        <v>University</v>
      </c>
      <c r="F39">
        <v>1</v>
      </c>
      <c r="G39" t="s">
        <v>904</v>
      </c>
      <c r="J39" t="str">
        <f t="shared" si="7"/>
        <v>Florida A&amp;M*</v>
      </c>
      <c r="K39" t="str">
        <f t="shared" si="3"/>
        <v>og=(Florida A&amp;M*) OR oo=(Florida A&amp;M*) OR ad=(Florida A&amp;M*)</v>
      </c>
      <c r="L39" t="str">
        <f t="shared" si="4"/>
        <v>og=(Florida A&amp;M*) OR oo=(Florida A&amp;M*) OR ad=(Florida A&amp;M*)</v>
      </c>
    </row>
    <row r="40" spans="1:12">
      <c r="A40">
        <v>30794</v>
      </c>
      <c r="B40" t="s">
        <v>130</v>
      </c>
      <c r="C40" t="s">
        <v>130</v>
      </c>
      <c r="D40">
        <f t="shared" si="5"/>
        <v>3</v>
      </c>
      <c r="E40" t="str">
        <f t="shared" si="6"/>
        <v>University</v>
      </c>
      <c r="F40">
        <v>1</v>
      </c>
      <c r="G40" t="s">
        <v>905</v>
      </c>
      <c r="J40" t="str">
        <f t="shared" si="7"/>
        <v>Florida State*</v>
      </c>
      <c r="K40" t="str">
        <f t="shared" si="3"/>
        <v>og=(Florida State*) OR oo=(Florida State*) OR ad=(Florida State*)</v>
      </c>
      <c r="L40" t="str">
        <f t="shared" si="4"/>
        <v>og=(Florida State*) OR oo=(Florida State*) OR ad=(Florida State*)</v>
      </c>
    </row>
    <row r="41" spans="1:12">
      <c r="A41">
        <v>30794</v>
      </c>
      <c r="B41" t="s">
        <v>177</v>
      </c>
      <c r="C41" t="s">
        <v>177</v>
      </c>
      <c r="D41">
        <f t="shared" si="5"/>
        <v>2</v>
      </c>
      <c r="E41" t="str">
        <f t="shared" si="6"/>
        <v>College</v>
      </c>
      <c r="F41">
        <v>2</v>
      </c>
      <c r="G41" t="s">
        <v>910</v>
      </c>
      <c r="J41" t="str">
        <f t="shared" si="7"/>
        <v>Morehouse*</v>
      </c>
      <c r="K41" t="str">
        <f t="shared" si="3"/>
        <v>og=(Morehouse*) OR oo=(Morehouse*) OR ad=(Morehouse*)</v>
      </c>
      <c r="L41" t="str">
        <f t="shared" si="4"/>
        <v>og=(Morehouse*) OR oo=(Morehouse*) OR ad=(Morehouse*)</v>
      </c>
    </row>
    <row r="42" spans="1:12">
      <c r="A42">
        <v>30794</v>
      </c>
      <c r="B42" t="s">
        <v>669</v>
      </c>
      <c r="C42" t="s">
        <v>511</v>
      </c>
      <c r="D42">
        <f t="shared" si="5"/>
        <v>4</v>
      </c>
      <c r="E42" t="str">
        <f t="shared" si="6"/>
        <v>Laboratories</v>
      </c>
      <c r="F42">
        <v>0</v>
      </c>
      <c r="G42" t="s">
        <v>511</v>
      </c>
      <c r="J42" t="str">
        <f t="shared" si="7"/>
        <v>Oak Ridge National Laboratories*</v>
      </c>
      <c r="K42" t="str">
        <f t="shared" si="3"/>
        <v>og=(Oak Ridge National Laboratories*) OR oo=(Oak Ridge National Laboratories*) OR ad=(Oak Ridge National Laboratories*)</v>
      </c>
      <c r="L42" t="str">
        <f t="shared" si="4"/>
        <v>og=(Oak Ridge National Laboratories*) OR oo=(Oak Ridge National Laboratories*) OR ad=(Oak Ridge National Laboratories*)</v>
      </c>
    </row>
    <row r="43" spans="1:12">
      <c r="A43">
        <v>30794</v>
      </c>
      <c r="B43" t="s">
        <v>483</v>
      </c>
      <c r="C43" s="5" t="s">
        <v>709</v>
      </c>
      <c r="D43">
        <f t="shared" si="5"/>
        <v>6</v>
      </c>
      <c r="E43" t="str">
        <f t="shared" si="6"/>
        <v>Hill</v>
      </c>
      <c r="F43" t="s">
        <v>1036</v>
      </c>
      <c r="G43" s="5" t="s">
        <v>817</v>
      </c>
      <c r="H43" t="str">
        <f>TRIM(LEFT(SUBSTITUTE(G43,",",REPT(" ",99)),99))</f>
        <v>univ* North Carolina</v>
      </c>
      <c r="I43" t="str">
        <f>TRIM(RIGHT(SUBSTITUTE(C43,",",REPT(" ",99)),99))</f>
        <v>Chapel Hill</v>
      </c>
      <c r="J43" t="str">
        <f>IF(MID(TRIM(H43),LEN(TRIM(H43)),1)="*",TRIM(H43),TRIM(H43)&amp;"*")</f>
        <v>univ* North Carolina*</v>
      </c>
      <c r="K43" t="str">
        <f t="shared" si="3"/>
        <v>og=(univ* North Carolina*) OR oo=(univ* North Carolina*) OR ad=(univ* North Carolina*)</v>
      </c>
      <c r="L43" t="str">
        <f t="shared" si="4"/>
        <v>(og=(univ* North Carolina*) OR oo=(univ* North Carolina*) OR ad=(univ* North Carolina*)) AND ad=(Chapel Hill)</v>
      </c>
    </row>
    <row r="44" spans="1:12">
      <c r="A44">
        <v>30932</v>
      </c>
      <c r="B44" t="s">
        <v>571</v>
      </c>
      <c r="C44" t="s">
        <v>571</v>
      </c>
      <c r="D44">
        <f t="shared" si="5"/>
        <v>3</v>
      </c>
      <c r="E44" t="str">
        <f t="shared" si="6"/>
        <v>College</v>
      </c>
      <c r="F44">
        <v>2</v>
      </c>
      <c r="G44" t="s">
        <v>884</v>
      </c>
      <c r="J44" t="str">
        <f>IF(MID(TRIM(G44),LEN(TRIM(G44)),1)="*",TRIM(G44),TRIM(G44)&amp;"*")</f>
        <v>Coppin State*</v>
      </c>
      <c r="K44" t="str">
        <f t="shared" si="3"/>
        <v>og=(Coppin State*) OR oo=(Coppin State*) OR ad=(Coppin State*)</v>
      </c>
      <c r="L44" t="str">
        <f t="shared" si="4"/>
        <v>og=(Coppin State*) OR oo=(Coppin State*) OR ad=(Coppin State*)</v>
      </c>
    </row>
    <row r="45" spans="1:12">
      <c r="A45">
        <v>30932</v>
      </c>
      <c r="B45" t="s">
        <v>86</v>
      </c>
      <c r="C45" t="s">
        <v>86</v>
      </c>
      <c r="D45">
        <f t="shared" si="5"/>
        <v>3</v>
      </c>
      <c r="E45" t="str">
        <f t="shared" si="6"/>
        <v>University</v>
      </c>
      <c r="F45">
        <v>1</v>
      </c>
      <c r="G45" t="s">
        <v>884</v>
      </c>
      <c r="J45" t="str">
        <f>IF(MID(TRIM(G45),LEN(TRIM(G45)),1)="*",TRIM(G45),TRIM(G45)&amp;"*")</f>
        <v>Coppin State*</v>
      </c>
      <c r="K45" t="str">
        <f t="shared" si="3"/>
        <v>og=(Coppin State*) OR oo=(Coppin State*) OR ad=(Coppin State*)</v>
      </c>
      <c r="L45" t="str">
        <f t="shared" si="4"/>
        <v>og=(Coppin State*) OR oo=(Coppin State*) OR ad=(Coppin State*)</v>
      </c>
    </row>
    <row r="46" spans="1:12">
      <c r="A46">
        <v>30932</v>
      </c>
      <c r="B46" t="s">
        <v>378</v>
      </c>
      <c r="C46" t="s">
        <v>704</v>
      </c>
      <c r="D46">
        <f t="shared" si="5"/>
        <v>5</v>
      </c>
      <c r="E46" t="str">
        <f t="shared" si="6"/>
        <v>Park</v>
      </c>
      <c r="F46" t="s">
        <v>1036</v>
      </c>
      <c r="G46" t="s">
        <v>818</v>
      </c>
      <c r="H46" t="str">
        <f>TRIM(LEFT(SUBSTITUTE(G46,",",REPT(" ",99)),99))</f>
        <v>univ* Maryland</v>
      </c>
      <c r="I46" t="str">
        <f>TRIM(RIGHT(SUBSTITUTE(C46,",",REPT(" ",99)),99))</f>
        <v>College Park</v>
      </c>
      <c r="J46" t="str">
        <f>IF(MID(TRIM(H46),LEN(TRIM(H46)),1)="*",TRIM(H46),TRIM(H46)&amp;"*")</f>
        <v>univ* Maryland*</v>
      </c>
      <c r="K46" t="str">
        <f t="shared" si="3"/>
        <v>og=(univ* Maryland*) OR oo=(univ* Maryland*) OR ad=(univ* Maryland*)</v>
      </c>
      <c r="L46" t="str">
        <f t="shared" si="4"/>
        <v>(og=(univ* Maryland*) OR oo=(univ* Maryland*) OR ad=(univ* Maryland*)) AND ad=(College Park)</v>
      </c>
    </row>
    <row r="47" spans="1:12">
      <c r="A47">
        <v>30932</v>
      </c>
      <c r="B47" t="s">
        <v>377</v>
      </c>
      <c r="C47" t="s">
        <v>377</v>
      </c>
      <c r="D47">
        <f t="shared" si="5"/>
        <v>3</v>
      </c>
      <c r="E47" t="str">
        <f t="shared" si="6"/>
        <v>Roorkee</v>
      </c>
      <c r="F47">
        <v>3</v>
      </c>
      <c r="G47" t="s">
        <v>819</v>
      </c>
      <c r="J47" t="str">
        <f>IF(MID(TRIM(G47),LEN(TRIM(G47)),1)="*",TRIM(G47),TRIM(G47)&amp;"*")</f>
        <v>univ* Roorkee*</v>
      </c>
      <c r="K47" t="str">
        <f t="shared" si="3"/>
        <v>og=(univ* Roorkee*) OR oo=(univ* Roorkee*) OR ad=(univ* Roorkee*)</v>
      </c>
      <c r="L47" t="str">
        <f t="shared" si="4"/>
        <v>og=(univ* Roorkee*) OR oo=(univ* Roorkee*) OR ad=(univ* Roorkee*)</v>
      </c>
    </row>
    <row r="48" spans="1:12">
      <c r="A48">
        <v>30951</v>
      </c>
      <c r="B48" t="s">
        <v>429</v>
      </c>
      <c r="C48" t="s">
        <v>429</v>
      </c>
      <c r="D48">
        <f t="shared" si="5"/>
        <v>3</v>
      </c>
      <c r="E48" t="str">
        <f t="shared" si="6"/>
        <v>Cincinnati</v>
      </c>
      <c r="F48">
        <v>3</v>
      </c>
      <c r="G48" t="s">
        <v>820</v>
      </c>
      <c r="J48" t="str">
        <f>IF(MID(TRIM(G48),LEN(TRIM(G48)),1)="*",TRIM(G48),TRIM(G48)&amp;"*")</f>
        <v>univ* Cincinnati*</v>
      </c>
      <c r="K48" t="str">
        <f t="shared" si="3"/>
        <v>og=(univ* Cincinnati*) OR oo=(univ* Cincinnati*) OR ad=(univ* Cincinnati*)</v>
      </c>
      <c r="L48" t="str">
        <f t="shared" si="4"/>
        <v>og=(univ* Cincinnati*) OR oo=(univ* Cincinnati*) OR ad=(univ* Cincinnati*)</v>
      </c>
    </row>
    <row r="49" spans="1:12">
      <c r="A49">
        <v>30951</v>
      </c>
      <c r="B49" t="s">
        <v>573</v>
      </c>
      <c r="C49" t="s">
        <v>705</v>
      </c>
      <c r="D49">
        <f t="shared" si="5"/>
        <v>5</v>
      </c>
      <c r="E49" t="str">
        <f t="shared" si="6"/>
        <v>Shore</v>
      </c>
      <c r="F49" t="s">
        <v>1036</v>
      </c>
      <c r="G49" t="s">
        <v>821</v>
      </c>
      <c r="H49" t="str">
        <f>TRIM(LEFT(SUBSTITUTE(G49,",",REPT(" ",99)),99))</f>
        <v>univ* Maryland</v>
      </c>
      <c r="I49" t="str">
        <f>TRIM(RIGHT(SUBSTITUTE(C49,",",REPT(" ",99)),99))</f>
        <v>Eastern Shore</v>
      </c>
      <c r="J49" t="str">
        <f>IF(MID(TRIM(H49),LEN(TRIM(H49)),1)="*",TRIM(H49),TRIM(H49)&amp;"*")</f>
        <v>univ* Maryland*</v>
      </c>
      <c r="K49" t="str">
        <f t="shared" si="3"/>
        <v>og=(univ* Maryland*) OR oo=(univ* Maryland*) OR ad=(univ* Maryland*)</v>
      </c>
      <c r="L49" t="str">
        <f t="shared" si="4"/>
        <v>(og=(univ* Maryland*) OR oo=(univ* Maryland*) OR ad=(univ* Maryland*)) AND ad=(Eastern Shore)</v>
      </c>
    </row>
    <row r="50" spans="1:12">
      <c r="A50">
        <v>30953</v>
      </c>
      <c r="B50" t="s">
        <v>608</v>
      </c>
      <c r="C50" t="s">
        <v>608</v>
      </c>
      <c r="D50">
        <f t="shared" si="5"/>
        <v>3</v>
      </c>
      <c r="E50" t="str">
        <f t="shared" si="6"/>
        <v>University</v>
      </c>
      <c r="F50">
        <v>1</v>
      </c>
      <c r="G50" t="s">
        <v>911</v>
      </c>
      <c r="J50" t="str">
        <f>IF(MID(TRIM(G50),LEN(TRIM(G50)),1)="*",TRIM(G50),TRIM(G50)&amp;"*")</f>
        <v>Saint Louis*</v>
      </c>
      <c r="K50" t="str">
        <f t="shared" si="3"/>
        <v>og=(Saint Louis*) OR oo=(Saint Louis*) OR ad=(Saint Louis*)</v>
      </c>
      <c r="L50" t="str">
        <f t="shared" si="4"/>
        <v>og=(Saint Louis*) OR oo=(Saint Louis*) OR ad=(Saint Louis*)</v>
      </c>
    </row>
    <row r="51" spans="1:12">
      <c r="A51">
        <v>30953</v>
      </c>
      <c r="B51" t="s">
        <v>573</v>
      </c>
      <c r="C51" t="s">
        <v>705</v>
      </c>
      <c r="D51">
        <f t="shared" si="5"/>
        <v>5</v>
      </c>
      <c r="E51" t="str">
        <f t="shared" si="6"/>
        <v>Shore</v>
      </c>
      <c r="F51" t="s">
        <v>1036</v>
      </c>
      <c r="G51" t="s">
        <v>821</v>
      </c>
      <c r="H51" t="str">
        <f>TRIM(LEFT(SUBSTITUTE(G51,",",REPT(" ",99)),99))</f>
        <v>univ* Maryland</v>
      </c>
      <c r="I51" t="str">
        <f>TRIM(RIGHT(SUBSTITUTE(C51,",",REPT(" ",99)),99))</f>
        <v>Eastern Shore</v>
      </c>
      <c r="J51" t="str">
        <f>IF(MID(TRIM(H51),LEN(TRIM(H51)),1)="*",TRIM(H51),TRIM(H51)&amp;"*")</f>
        <v>univ* Maryland*</v>
      </c>
      <c r="K51" t="str">
        <f t="shared" si="3"/>
        <v>og=(univ* Maryland*) OR oo=(univ* Maryland*) OR ad=(univ* Maryland*)</v>
      </c>
      <c r="L51" t="str">
        <f t="shared" si="4"/>
        <v>(og=(univ* Maryland*) OR oo=(univ* Maryland*) OR ad=(univ* Maryland*)) AND ad=(Eastern Shore)</v>
      </c>
    </row>
    <row r="52" spans="1:12">
      <c r="A52">
        <v>30972</v>
      </c>
      <c r="B52" t="s">
        <v>487</v>
      </c>
      <c r="C52" t="s">
        <v>487</v>
      </c>
      <c r="D52">
        <f t="shared" si="5"/>
        <v>2</v>
      </c>
      <c r="E52" t="str">
        <f t="shared" si="6"/>
        <v>University</v>
      </c>
      <c r="F52">
        <v>1</v>
      </c>
      <c r="G52" t="s">
        <v>912</v>
      </c>
      <c r="J52" t="str">
        <f t="shared" ref="J52:J57" si="8">IF(MID(TRIM(G52),LEN(TRIM(G52)),1)="*",TRIM(G52),TRIM(G52)&amp;"*")</f>
        <v>Capella*</v>
      </c>
      <c r="K52" t="str">
        <f t="shared" si="3"/>
        <v>og=(Capella*) OR oo=(Capella*) OR ad=(Capella*)</v>
      </c>
      <c r="L52" t="str">
        <f t="shared" si="4"/>
        <v>og=(Capella*) OR oo=(Capella*) OR ad=(Capella*)</v>
      </c>
    </row>
    <row r="53" spans="1:12">
      <c r="A53">
        <v>30972</v>
      </c>
      <c r="B53" t="s">
        <v>676</v>
      </c>
      <c r="C53" t="s">
        <v>676</v>
      </c>
      <c r="D53">
        <f t="shared" si="5"/>
        <v>3</v>
      </c>
      <c r="E53" t="str">
        <f t="shared" si="6"/>
        <v>College</v>
      </c>
      <c r="F53">
        <v>2</v>
      </c>
      <c r="G53" t="s">
        <v>885</v>
      </c>
      <c r="J53" t="str">
        <f t="shared" si="8"/>
        <v>Hinds Community*</v>
      </c>
      <c r="K53" t="str">
        <f t="shared" si="3"/>
        <v>og=(Hinds Community*) OR oo=(Hinds Community*) OR ad=(Hinds Community*)</v>
      </c>
      <c r="L53" t="str">
        <f t="shared" si="4"/>
        <v>og=(Hinds Community*) OR oo=(Hinds Community*) OR ad=(Hinds Community*)</v>
      </c>
    </row>
    <row r="54" spans="1:12">
      <c r="A54">
        <v>30972</v>
      </c>
      <c r="B54" t="s">
        <v>158</v>
      </c>
      <c r="C54" t="s">
        <v>158</v>
      </c>
      <c r="D54">
        <f t="shared" si="5"/>
        <v>3</v>
      </c>
      <c r="E54" t="str">
        <f t="shared" si="6"/>
        <v>University</v>
      </c>
      <c r="F54">
        <v>1</v>
      </c>
      <c r="G54" t="s">
        <v>906</v>
      </c>
      <c r="J54" t="str">
        <f t="shared" si="8"/>
        <v>Jackson State*</v>
      </c>
      <c r="K54" t="str">
        <f t="shared" si="3"/>
        <v>og=(Jackson State*) OR oo=(Jackson State*) OR ad=(Jackson State*)</v>
      </c>
      <c r="L54" t="str">
        <f t="shared" si="4"/>
        <v>og=(Jackson State*) OR oo=(Jackson State*) OR ad=(Jackson State*)</v>
      </c>
    </row>
    <row r="55" spans="1:12">
      <c r="A55">
        <v>30972</v>
      </c>
      <c r="B55" t="s">
        <v>574</v>
      </c>
      <c r="C55" t="s">
        <v>574</v>
      </c>
      <c r="D55">
        <f t="shared" si="5"/>
        <v>2</v>
      </c>
      <c r="E55" t="str">
        <f t="shared" si="6"/>
        <v>College</v>
      </c>
      <c r="F55">
        <v>2</v>
      </c>
      <c r="G55" t="s">
        <v>913</v>
      </c>
      <c r="J55" t="str">
        <f t="shared" si="8"/>
        <v>Tougaloo*</v>
      </c>
      <c r="K55" t="str">
        <f t="shared" si="3"/>
        <v>og=(Tougaloo*) OR oo=(Tougaloo*) OR ad=(Tougaloo*)</v>
      </c>
      <c r="L55" t="str">
        <f t="shared" si="4"/>
        <v>og=(Tougaloo*) OR oo=(Tougaloo*) OR ad=(Tougaloo*)</v>
      </c>
    </row>
    <row r="56" spans="1:12">
      <c r="A56">
        <v>30972</v>
      </c>
      <c r="B56" t="s">
        <v>574</v>
      </c>
      <c r="C56" t="s">
        <v>574</v>
      </c>
      <c r="D56">
        <f t="shared" si="5"/>
        <v>2</v>
      </c>
      <c r="E56" t="str">
        <f t="shared" si="6"/>
        <v>College</v>
      </c>
      <c r="F56">
        <v>2</v>
      </c>
      <c r="G56" t="s">
        <v>913</v>
      </c>
      <c r="J56" t="str">
        <f t="shared" si="8"/>
        <v>Tougaloo*</v>
      </c>
      <c r="K56" t="str">
        <f t="shared" si="3"/>
        <v>og=(Tougaloo*) OR oo=(Tougaloo*) OR ad=(Tougaloo*)</v>
      </c>
      <c r="L56" t="str">
        <f t="shared" si="4"/>
        <v>og=(Tougaloo*) OR oo=(Tougaloo*) OR ad=(Tougaloo*)</v>
      </c>
    </row>
    <row r="57" spans="1:12">
      <c r="A57">
        <v>31078</v>
      </c>
      <c r="B57" t="s">
        <v>242</v>
      </c>
      <c r="C57" t="s">
        <v>242</v>
      </c>
      <c r="D57">
        <f t="shared" si="5"/>
        <v>3</v>
      </c>
      <c r="E57" t="str">
        <f t="shared" si="6"/>
        <v>University</v>
      </c>
      <c r="F57">
        <v>1</v>
      </c>
      <c r="G57" t="s">
        <v>889</v>
      </c>
      <c r="J57" t="str">
        <f t="shared" si="8"/>
        <v>Tennessee State*</v>
      </c>
      <c r="K57" t="str">
        <f t="shared" si="3"/>
        <v>og=(Tennessee State*) OR oo=(Tennessee State*) OR ad=(Tennessee State*)</v>
      </c>
      <c r="L57" t="str">
        <f t="shared" si="4"/>
        <v>og=(Tennessee State*) OR oo=(Tennessee State*) OR ad=(Tennessee State*)</v>
      </c>
    </row>
    <row r="58" spans="1:12">
      <c r="A58">
        <v>31078</v>
      </c>
      <c r="B58" t="s">
        <v>610</v>
      </c>
      <c r="C58" t="s">
        <v>704</v>
      </c>
      <c r="D58">
        <f t="shared" si="5"/>
        <v>5</v>
      </c>
      <c r="E58" t="str">
        <f t="shared" si="6"/>
        <v>Park</v>
      </c>
      <c r="F58" t="s">
        <v>1036</v>
      </c>
      <c r="G58" t="s">
        <v>818</v>
      </c>
      <c r="H58" t="str">
        <f>TRIM(LEFT(SUBSTITUTE(G58,",",REPT(" ",99)),99))</f>
        <v>univ* Maryland</v>
      </c>
      <c r="I58" t="str">
        <f>TRIM(RIGHT(SUBSTITUTE(C58,",",REPT(" ",99)),99))</f>
        <v>College Park</v>
      </c>
      <c r="J58" t="str">
        <f>IF(MID(TRIM(H58),LEN(TRIM(H58)),1)="*",TRIM(H58),TRIM(H58)&amp;"*")</f>
        <v>univ* Maryland*</v>
      </c>
      <c r="K58" t="str">
        <f t="shared" si="3"/>
        <v>og=(univ* Maryland*) OR oo=(univ* Maryland*) OR ad=(univ* Maryland*)</v>
      </c>
      <c r="L58" t="str">
        <f t="shared" si="4"/>
        <v>(og=(univ* Maryland*) OR oo=(univ* Maryland*) OR ad=(univ* Maryland*)) AND ad=(College Park)</v>
      </c>
    </row>
    <row r="59" spans="1:12">
      <c r="A59">
        <v>31202</v>
      </c>
      <c r="B59" t="s">
        <v>219</v>
      </c>
      <c r="C59" t="s">
        <v>219</v>
      </c>
      <c r="D59">
        <f t="shared" si="5"/>
        <v>2</v>
      </c>
      <c r="E59" t="str">
        <f t="shared" si="6"/>
        <v>College</v>
      </c>
      <c r="F59">
        <v>2</v>
      </c>
      <c r="G59" t="s">
        <v>914</v>
      </c>
      <c r="J59" t="str">
        <f>IF(MID(TRIM(G59),LEN(TRIM(G59)),1)="*",TRIM(G59),TRIM(G59)&amp;"*")</f>
        <v>Smith*</v>
      </c>
      <c r="K59" t="str">
        <f t="shared" si="3"/>
        <v>og=(Smith*) OR oo=(Smith*) OR ad=(Smith*)</v>
      </c>
      <c r="L59" t="str">
        <f t="shared" si="4"/>
        <v>og=(Smith*) OR oo=(Smith*) OR ad=(Smith*)</v>
      </c>
    </row>
    <row r="60" spans="1:12">
      <c r="A60">
        <v>31202</v>
      </c>
      <c r="B60" t="s">
        <v>610</v>
      </c>
      <c r="C60" t="s">
        <v>704</v>
      </c>
      <c r="D60">
        <f t="shared" si="5"/>
        <v>5</v>
      </c>
      <c r="E60" t="str">
        <f t="shared" si="6"/>
        <v>Park</v>
      </c>
      <c r="F60" t="s">
        <v>1036</v>
      </c>
      <c r="G60" t="s">
        <v>818</v>
      </c>
      <c r="H60" t="str">
        <f>TRIM(LEFT(SUBSTITUTE(G60,",",REPT(" ",99)),99))</f>
        <v>univ* Maryland</v>
      </c>
      <c r="I60" t="str">
        <f>TRIM(RIGHT(SUBSTITUTE(C60,",",REPT(" ",99)),99))</f>
        <v>College Park</v>
      </c>
      <c r="J60" t="str">
        <f>IF(MID(TRIM(H60),LEN(TRIM(H60)),1)="*",TRIM(H60),TRIM(H60)&amp;"*")</f>
        <v>univ* Maryland*</v>
      </c>
      <c r="K60" t="str">
        <f t="shared" si="3"/>
        <v>og=(univ* Maryland*) OR oo=(univ* Maryland*) OR ad=(univ* Maryland*)</v>
      </c>
      <c r="L60" t="str">
        <f t="shared" si="4"/>
        <v>(og=(univ* Maryland*) OR oo=(univ* Maryland*) OR ad=(univ* Maryland*)) AND ad=(College Park)</v>
      </c>
    </row>
    <row r="61" spans="1:12">
      <c r="A61">
        <v>31202</v>
      </c>
      <c r="B61" t="s">
        <v>488</v>
      </c>
      <c r="C61" t="s">
        <v>488</v>
      </c>
      <c r="D61">
        <f t="shared" si="5"/>
        <v>4</v>
      </c>
      <c r="E61" t="str">
        <f t="shared" si="6"/>
        <v>Carolina</v>
      </c>
      <c r="F61">
        <v>3</v>
      </c>
      <c r="G61" t="s">
        <v>822</v>
      </c>
      <c r="J61" t="str">
        <f>IF(MID(TRIM(G61),LEN(TRIM(G61)),1)="*",TRIM(G61),TRIM(G61)&amp;"*")</f>
        <v>univ* South Carolina*</v>
      </c>
      <c r="K61" t="str">
        <f t="shared" si="3"/>
        <v>og=(univ* South Carolina*) OR oo=(univ* South Carolina*) OR ad=(univ* South Carolina*)</v>
      </c>
      <c r="L61" t="str">
        <f t="shared" si="4"/>
        <v>og=(univ* South Carolina*) OR oo=(univ* South Carolina*) OR ad=(univ* South Carolina*)</v>
      </c>
    </row>
    <row r="62" spans="1:12">
      <c r="A62">
        <v>31202</v>
      </c>
      <c r="B62" t="s">
        <v>318</v>
      </c>
      <c r="C62" t="s">
        <v>318</v>
      </c>
      <c r="D62">
        <f t="shared" si="5"/>
        <v>3</v>
      </c>
      <c r="E62" t="str">
        <f t="shared" si="6"/>
        <v>Virginia</v>
      </c>
      <c r="F62">
        <v>3</v>
      </c>
      <c r="G62" t="s">
        <v>813</v>
      </c>
      <c r="J62" t="str">
        <f>IF(MID(TRIM(G62),LEN(TRIM(G62)),1)="*",TRIM(G62),TRIM(G62)&amp;"*")</f>
        <v>univ* Virginia*</v>
      </c>
      <c r="K62" t="str">
        <f t="shared" si="3"/>
        <v>og=(univ* Virginia*) OR oo=(univ* Virginia*) OR ad=(univ* Virginia*)</v>
      </c>
      <c r="L62" t="str">
        <f t="shared" si="4"/>
        <v>og=(univ* Virginia*) OR oo=(univ* Virginia*) OR ad=(univ* Virginia*)</v>
      </c>
    </row>
    <row r="63" spans="1:12">
      <c r="A63">
        <v>31234</v>
      </c>
      <c r="B63" t="s">
        <v>21</v>
      </c>
      <c r="C63" t="s">
        <v>21</v>
      </c>
      <c r="D63">
        <f t="shared" si="5"/>
        <v>3</v>
      </c>
      <c r="E63" t="str">
        <f t="shared" si="6"/>
        <v>University</v>
      </c>
      <c r="F63">
        <v>1</v>
      </c>
      <c r="G63" t="s">
        <v>915</v>
      </c>
      <c r="J63" t="str">
        <f>IF(MID(TRIM(G63),LEN(TRIM(G63)),1)="*",TRIM(G63),TRIM(G63)&amp;"*")</f>
        <v>Boise State*</v>
      </c>
      <c r="K63" t="str">
        <f t="shared" si="3"/>
        <v>og=(Boise State*) OR oo=(Boise State*) OR ad=(Boise State*)</v>
      </c>
      <c r="L63" t="str">
        <f t="shared" si="4"/>
        <v>og=(Boise State*) OR oo=(Boise State*) OR ad=(Boise State*)</v>
      </c>
    </row>
    <row r="64" spans="1:12">
      <c r="A64">
        <v>31234</v>
      </c>
      <c r="B64" t="s">
        <v>72</v>
      </c>
      <c r="C64" t="s">
        <v>72</v>
      </c>
      <c r="D64">
        <f t="shared" si="5"/>
        <v>4</v>
      </c>
      <c r="E64" t="str">
        <f t="shared" si="6"/>
        <v>Benedict</v>
      </c>
      <c r="F64">
        <v>4</v>
      </c>
      <c r="G64" t="s">
        <v>1023</v>
      </c>
      <c r="J64" t="str">
        <f>IF(MID(TRIM(G64),LEN(TRIM(G64)),1)="*",TRIM(G64),TRIM(G64)&amp;"*")</f>
        <v>Coll* Saint Benedict*</v>
      </c>
      <c r="K64" t="str">
        <f t="shared" si="3"/>
        <v>og=(Coll* Saint Benedict*) OR oo=(Coll* Saint Benedict*) OR ad=(Coll* Saint Benedict*)</v>
      </c>
      <c r="L64" t="str">
        <f t="shared" si="4"/>
        <v>og=(Coll* Saint Benedict*) OR oo=(Coll* Saint Benedict*) OR ad=(Coll* Saint Benedict*)</v>
      </c>
    </row>
    <row r="65" spans="1:12">
      <c r="A65">
        <v>31234</v>
      </c>
      <c r="B65" t="s">
        <v>227</v>
      </c>
      <c r="C65" t="s">
        <v>227</v>
      </c>
      <c r="D65">
        <f t="shared" si="5"/>
        <v>3</v>
      </c>
      <c r="E65" t="str">
        <f t="shared" si="6"/>
        <v>University</v>
      </c>
      <c r="F65">
        <v>1</v>
      </c>
      <c r="G65" t="s">
        <v>916</v>
      </c>
      <c r="J65" t="str">
        <f>IF(MID(TRIM(G65),LEN(TRIM(G65)),1)="*",TRIM(G65),TRIM(G65)&amp;"*")</f>
        <v>Southern Utah*</v>
      </c>
      <c r="K65" t="str">
        <f t="shared" si="3"/>
        <v>og=(Southern Utah*) OR oo=(Southern Utah*) OR ad=(Southern Utah*)</v>
      </c>
      <c r="L65" t="str">
        <f t="shared" si="4"/>
        <v>og=(Southern Utah*) OR oo=(Southern Utah*) OR ad=(Southern Utah*)</v>
      </c>
    </row>
    <row r="66" spans="1:12">
      <c r="A66">
        <v>31234</v>
      </c>
      <c r="B66" t="s">
        <v>489</v>
      </c>
      <c r="C66" t="s">
        <v>710</v>
      </c>
      <c r="D66">
        <f t="shared" ref="D66:D97" si="9">LEN(TRIM(C66))-LEN(SUBSTITUTE(C66," ",""))+1</f>
        <v>5</v>
      </c>
      <c r="E66" t="str">
        <f t="shared" ref="E66:E93" si="10">TRIM(RIGHT(SUBSTITUTE(C66," ",REPT(" ",99)),99))</f>
        <v>Australia</v>
      </c>
      <c r="F66" t="s">
        <v>1036</v>
      </c>
      <c r="G66" t="s">
        <v>823</v>
      </c>
      <c r="H66" t="str">
        <f>TRIM(LEFT(SUBSTITUTE(G66,",",REPT(" ",99)),99))</f>
        <v>univ* Notre Dame</v>
      </c>
      <c r="I66" t="str">
        <f>TRIM(RIGHT(SUBSTITUTE(C66,",",REPT(" ",99)),99))</f>
        <v>Australia</v>
      </c>
      <c r="J66" t="str">
        <f>IF(MID(TRIM(H66),LEN(TRIM(H66)),1)="*",TRIM(H66),TRIM(H66)&amp;"*")</f>
        <v>univ* Notre Dame*</v>
      </c>
      <c r="K66" t="str">
        <f t="shared" ref="K66:K129" si="11">"og=("&amp;J66&amp;") OR oo=("&amp;J66&amp;") OR ad=("&amp;J66&amp;")"</f>
        <v>og=(univ* Notre Dame*) OR oo=(univ* Notre Dame*) OR ad=(univ* Notre Dame*)</v>
      </c>
      <c r="L66" t="str">
        <f t="shared" ref="L66:L129" si="12">IF(I66="",K66,"(" &amp; K66 &amp; ") AND ad=(" &amp; I66 &amp; ")")</f>
        <v>(og=(univ* Notre Dame*) OR oo=(univ* Notre Dame*) OR ad=(univ* Notre Dame*)) AND ad=(Australia)</v>
      </c>
    </row>
    <row r="67" spans="1:12">
      <c r="A67">
        <v>31234</v>
      </c>
      <c r="B67" t="s">
        <v>328</v>
      </c>
      <c r="C67" t="s">
        <v>328</v>
      </c>
      <c r="D67">
        <f t="shared" si="9"/>
        <v>3</v>
      </c>
      <c r="E67" t="str">
        <f t="shared" si="10"/>
        <v>University</v>
      </c>
      <c r="F67">
        <v>1</v>
      </c>
      <c r="G67" t="s">
        <v>917</v>
      </c>
      <c r="J67" t="str">
        <f>IF(MID(TRIM(G67),LEN(TRIM(G67)),1)="*",TRIM(G67),TRIM(G67)&amp;"*")</f>
        <v>Washington State*</v>
      </c>
      <c r="K67" t="str">
        <f t="shared" si="11"/>
        <v>og=(Washington State*) OR oo=(Washington State*) OR ad=(Washington State*)</v>
      </c>
      <c r="L67" t="str">
        <f t="shared" si="12"/>
        <v>og=(Washington State*) OR oo=(Washington State*) OR ad=(Washington State*)</v>
      </c>
    </row>
    <row r="68" spans="1:12">
      <c r="A68">
        <v>31234</v>
      </c>
      <c r="B68" t="s">
        <v>461</v>
      </c>
      <c r="C68" t="s">
        <v>461</v>
      </c>
      <c r="D68">
        <f t="shared" si="9"/>
        <v>3</v>
      </c>
      <c r="E68" t="str">
        <f t="shared" si="10"/>
        <v>University</v>
      </c>
      <c r="F68">
        <v>1</v>
      </c>
      <c r="G68" t="s">
        <v>918</v>
      </c>
      <c r="J68" t="str">
        <f>IF(MID(TRIM(G68),LEN(TRIM(G68)),1)="*",TRIM(G68),TRIM(G68)&amp;"*")</f>
        <v>Western Washington*</v>
      </c>
      <c r="K68" t="str">
        <f t="shared" si="11"/>
        <v>og=(Western Washington*) OR oo=(Western Washington*) OR ad=(Western Washington*)</v>
      </c>
      <c r="L68" t="str">
        <f t="shared" si="12"/>
        <v>og=(Western Washington*) OR oo=(Western Washington*) OR ad=(Western Washington*)</v>
      </c>
    </row>
    <row r="69" spans="1:12">
      <c r="A69">
        <v>31272</v>
      </c>
      <c r="B69" t="s">
        <v>39</v>
      </c>
      <c r="C69" t="s">
        <v>39</v>
      </c>
      <c r="D69">
        <f t="shared" si="9"/>
        <v>3</v>
      </c>
      <c r="E69" t="str">
        <f t="shared" si="10"/>
        <v>College</v>
      </c>
      <c r="F69">
        <v>2</v>
      </c>
      <c r="G69" t="s">
        <v>886</v>
      </c>
      <c r="J69" t="str">
        <f>IF(MID(TRIM(G69),LEN(TRIM(G69)),1)="*",TRIM(G69),TRIM(G69)&amp;"*")</f>
        <v>Bryn Mawr*</v>
      </c>
      <c r="K69" t="str">
        <f t="shared" si="11"/>
        <v>og=(Bryn Mawr*) OR oo=(Bryn Mawr*) OR ad=(Bryn Mawr*)</v>
      </c>
      <c r="L69" t="str">
        <f t="shared" si="12"/>
        <v>og=(Bryn Mawr*) OR oo=(Bryn Mawr*) OR ad=(Bryn Mawr*)</v>
      </c>
    </row>
    <row r="70" spans="1:12">
      <c r="A70">
        <v>31272</v>
      </c>
      <c r="B70" t="s">
        <v>392</v>
      </c>
      <c r="C70" t="s">
        <v>392</v>
      </c>
      <c r="D70">
        <f t="shared" si="9"/>
        <v>4</v>
      </c>
      <c r="E70" t="str">
        <f t="shared" si="10"/>
        <v>Berkeley</v>
      </c>
      <c r="F70" t="s">
        <v>1036</v>
      </c>
      <c r="G70" t="s">
        <v>816</v>
      </c>
      <c r="H70" t="str">
        <f>TRIM(LEFT(SUBSTITUTE(G70,",",REPT(" ",99)),99))</f>
        <v>univ* California</v>
      </c>
      <c r="I70" t="str">
        <f>TRIM(RIGHT(SUBSTITUTE(C70,",",REPT(" ",99)),99))</f>
        <v>Berkeley</v>
      </c>
      <c r="J70" t="str">
        <f>IF(MID(TRIM(H70),LEN(TRIM(H70)),1)="*",TRIM(H70),TRIM(H70)&amp;"*")</f>
        <v>univ* California*</v>
      </c>
      <c r="K70" t="str">
        <f t="shared" si="11"/>
        <v>og=(univ* California*) OR oo=(univ* California*) OR ad=(univ* California*)</v>
      </c>
      <c r="L70" t="str">
        <f t="shared" si="12"/>
        <v>(og=(univ* California*) OR oo=(univ* California*) OR ad=(univ* California*)) AND ad=(Berkeley)</v>
      </c>
    </row>
    <row r="71" spans="1:12">
      <c r="A71">
        <v>31272</v>
      </c>
      <c r="B71" t="s">
        <v>379</v>
      </c>
      <c r="C71" t="s">
        <v>626</v>
      </c>
      <c r="D71">
        <f t="shared" si="9"/>
        <v>5</v>
      </c>
      <c r="E71" t="str">
        <f t="shared" si="10"/>
        <v>Diego</v>
      </c>
      <c r="F71" t="s">
        <v>1036</v>
      </c>
      <c r="G71" t="s">
        <v>824</v>
      </c>
      <c r="H71" t="str">
        <f>TRIM(LEFT(SUBSTITUTE(G71,",",REPT(" ",99)),99))</f>
        <v>univ* California</v>
      </c>
      <c r="I71" t="str">
        <f>TRIM(RIGHT(SUBSTITUTE(C71,",",REPT(" ",99)),99))</f>
        <v>San Diego</v>
      </c>
      <c r="J71" t="str">
        <f>IF(MID(TRIM(H71),LEN(TRIM(H71)),1)="*",TRIM(H71),TRIM(H71)&amp;"*")</f>
        <v>univ* California*</v>
      </c>
      <c r="K71" t="str">
        <f t="shared" si="11"/>
        <v>og=(univ* California*) OR oo=(univ* California*) OR ad=(univ* California*)</v>
      </c>
      <c r="L71" t="str">
        <f t="shared" si="12"/>
        <v>(og=(univ* California*) OR oo=(univ* California*) OR ad=(univ* California*)) AND ad=(San Diego)</v>
      </c>
    </row>
    <row r="72" spans="1:12">
      <c r="A72">
        <v>31272</v>
      </c>
      <c r="B72" t="s">
        <v>300</v>
      </c>
      <c r="C72" t="s">
        <v>300</v>
      </c>
      <c r="D72">
        <f t="shared" si="9"/>
        <v>3</v>
      </c>
      <c r="E72" t="str">
        <f t="shared" si="10"/>
        <v>Pennsylvania</v>
      </c>
      <c r="F72">
        <v>3</v>
      </c>
      <c r="G72" t="s">
        <v>825</v>
      </c>
      <c r="J72" t="str">
        <f>IF(MID(TRIM(G72),LEN(TRIM(G72)),1)="*",TRIM(G72),TRIM(G72)&amp;"*")</f>
        <v>univ* Pennsylvania*</v>
      </c>
      <c r="K72" t="str">
        <f t="shared" si="11"/>
        <v>og=(univ* Pennsylvania*) OR oo=(univ* Pennsylvania*) OR ad=(univ* Pennsylvania*)</v>
      </c>
      <c r="L72" t="str">
        <f t="shared" si="12"/>
        <v>og=(univ* Pennsylvania*) OR oo=(univ* Pennsylvania*) OR ad=(univ* Pennsylvania*)</v>
      </c>
    </row>
    <row r="73" spans="1:12">
      <c r="A73">
        <v>31481</v>
      </c>
      <c r="B73" t="s">
        <v>399</v>
      </c>
      <c r="C73" t="s">
        <v>399</v>
      </c>
      <c r="D73">
        <f t="shared" si="9"/>
        <v>2</v>
      </c>
      <c r="E73" t="str">
        <f t="shared" si="10"/>
        <v>University</v>
      </c>
      <c r="F73">
        <v>1</v>
      </c>
      <c r="G73" t="s">
        <v>919</v>
      </c>
      <c r="J73" t="str">
        <f>IF(MID(TRIM(G73),LEN(TRIM(G73)),1)="*",TRIM(G73),TRIM(G73)&amp;"*")</f>
        <v>Cambridge*</v>
      </c>
      <c r="K73" t="str">
        <f t="shared" si="11"/>
        <v>og=(Cambridge*) OR oo=(Cambridge*) OR ad=(Cambridge*)</v>
      </c>
      <c r="L73" t="str">
        <f t="shared" si="12"/>
        <v>og=(Cambridge*) OR oo=(Cambridge*) OR ad=(Cambridge*)</v>
      </c>
    </row>
    <row r="74" spans="1:12">
      <c r="A74">
        <v>31481</v>
      </c>
      <c r="B74" t="s">
        <v>208</v>
      </c>
      <c r="C74" t="s">
        <v>208</v>
      </c>
      <c r="D74">
        <f t="shared" si="9"/>
        <v>2</v>
      </c>
      <c r="E74" t="str">
        <f t="shared" si="10"/>
        <v>University</v>
      </c>
      <c r="F74">
        <v>1</v>
      </c>
      <c r="G74" t="s">
        <v>920</v>
      </c>
      <c r="J74" t="str">
        <f>IF(MID(TRIM(G74),LEN(TRIM(G74)),1)="*",TRIM(G74),TRIM(G74)&amp;"*")</f>
        <v>Rice*</v>
      </c>
      <c r="K74" t="str">
        <f t="shared" si="11"/>
        <v>og=(Rice*) OR oo=(Rice*) OR ad=(Rice*)</v>
      </c>
      <c r="L74" t="str">
        <f t="shared" si="12"/>
        <v>og=(Rice*) OR oo=(Rice*) OR ad=(Rice*)</v>
      </c>
    </row>
    <row r="75" spans="1:12">
      <c r="A75">
        <v>31481</v>
      </c>
      <c r="B75" t="s">
        <v>392</v>
      </c>
      <c r="C75" t="s">
        <v>392</v>
      </c>
      <c r="D75">
        <f t="shared" si="9"/>
        <v>4</v>
      </c>
      <c r="E75" t="str">
        <f t="shared" si="10"/>
        <v>Berkeley</v>
      </c>
      <c r="F75" t="s">
        <v>1036</v>
      </c>
      <c r="G75" t="s">
        <v>816</v>
      </c>
      <c r="H75" t="str">
        <f>TRIM(LEFT(SUBSTITUTE(G75,",",REPT(" ",99)),99))</f>
        <v>univ* California</v>
      </c>
      <c r="I75" t="str">
        <f>TRIM(RIGHT(SUBSTITUTE(C75,",",REPT(" ",99)),99))</f>
        <v>Berkeley</v>
      </c>
      <c r="J75" t="str">
        <f>IF(MID(TRIM(H75),LEN(TRIM(H75)),1)="*",TRIM(H75),TRIM(H75)&amp;"*")</f>
        <v>univ* California*</v>
      </c>
      <c r="K75" t="str">
        <f t="shared" si="11"/>
        <v>og=(univ* California*) OR oo=(univ* California*) OR ad=(univ* California*)</v>
      </c>
      <c r="L75" t="str">
        <f t="shared" si="12"/>
        <v>(og=(univ* California*) OR oo=(univ* California*) OR ad=(univ* California*)) AND ad=(Berkeley)</v>
      </c>
    </row>
    <row r="76" spans="1:12">
      <c r="A76">
        <v>31481</v>
      </c>
      <c r="B76" t="s">
        <v>269</v>
      </c>
      <c r="C76" t="s">
        <v>269</v>
      </c>
      <c r="D76">
        <f t="shared" si="9"/>
        <v>3</v>
      </c>
      <c r="E76" t="str">
        <f t="shared" si="10"/>
        <v>Chicago</v>
      </c>
      <c r="F76">
        <v>3</v>
      </c>
      <c r="G76" t="s">
        <v>826</v>
      </c>
      <c r="J76" t="str">
        <f t="shared" ref="J76:J83" si="13">IF(MID(TRIM(G76),LEN(TRIM(G76)),1)="*",TRIM(G76),TRIM(G76)&amp;"*")</f>
        <v>univ* Chicago*</v>
      </c>
      <c r="K76" t="str">
        <f t="shared" si="11"/>
        <v>og=(univ* Chicago*) OR oo=(univ* Chicago*) OR ad=(univ* Chicago*)</v>
      </c>
      <c r="L76" t="str">
        <f t="shared" si="12"/>
        <v>og=(univ* Chicago*) OR oo=(univ* Chicago*) OR ad=(univ* Chicago*)</v>
      </c>
    </row>
    <row r="77" spans="1:12">
      <c r="A77">
        <v>31481</v>
      </c>
      <c r="B77" t="s">
        <v>329</v>
      </c>
      <c r="C77" t="s">
        <v>329</v>
      </c>
      <c r="D77">
        <f t="shared" si="9"/>
        <v>2</v>
      </c>
      <c r="E77" t="str">
        <f t="shared" si="10"/>
        <v>College</v>
      </c>
      <c r="F77">
        <v>2</v>
      </c>
      <c r="G77" t="s">
        <v>921</v>
      </c>
      <c r="J77" t="str">
        <f t="shared" si="13"/>
        <v>Wellesley*</v>
      </c>
      <c r="K77" t="str">
        <f t="shared" si="11"/>
        <v>og=(Wellesley*) OR oo=(Wellesley*) OR ad=(Wellesley*)</v>
      </c>
      <c r="L77" t="str">
        <f t="shared" si="12"/>
        <v>og=(Wellesley*) OR oo=(Wellesley*) OR ad=(Wellesley*)</v>
      </c>
    </row>
    <row r="78" spans="1:12">
      <c r="A78">
        <v>31495</v>
      </c>
      <c r="B78" t="s">
        <v>575</v>
      </c>
      <c r="C78" t="s">
        <v>575</v>
      </c>
      <c r="D78">
        <f t="shared" si="9"/>
        <v>4</v>
      </c>
      <c r="E78" t="str">
        <f t="shared" si="10"/>
        <v>Catherine</v>
      </c>
      <c r="F78">
        <v>4</v>
      </c>
      <c r="G78" t="s">
        <v>1024</v>
      </c>
      <c r="J78" t="str">
        <f t="shared" si="13"/>
        <v>Coll* St. Catherine*</v>
      </c>
      <c r="K78" t="str">
        <f t="shared" si="11"/>
        <v>og=(Coll* St. Catherine*) OR oo=(Coll* St. Catherine*) OR ad=(Coll* St. Catherine*)</v>
      </c>
      <c r="L78" t="str">
        <f t="shared" si="12"/>
        <v>og=(Coll* St. Catherine*) OR oo=(Coll* St. Catherine*) OR ad=(Coll* St. Catherine*)</v>
      </c>
    </row>
    <row r="79" spans="1:12">
      <c r="A79">
        <v>31495</v>
      </c>
      <c r="B79" t="s">
        <v>494</v>
      </c>
      <c r="C79" s="5" t="s">
        <v>693</v>
      </c>
      <c r="D79">
        <f t="shared" si="9"/>
        <v>4</v>
      </c>
      <c r="E79" t="str">
        <f t="shared" si="10"/>
        <v>Thomas</v>
      </c>
      <c r="F79">
        <v>4</v>
      </c>
      <c r="G79" s="5" t="s">
        <v>1025</v>
      </c>
      <c r="H79" s="5"/>
      <c r="I79" s="5"/>
      <c r="J79" t="str">
        <f t="shared" si="13"/>
        <v>Coll* St. Thomas*</v>
      </c>
      <c r="K79" t="str">
        <f t="shared" si="11"/>
        <v>og=(Coll* St. Thomas*) OR oo=(Coll* St. Thomas*) OR ad=(Coll* St. Thomas*)</v>
      </c>
      <c r="L79" t="str">
        <f t="shared" si="12"/>
        <v>og=(Coll* St. Thomas*) OR oo=(Coll* St. Thomas*) OR ad=(Coll* St. Thomas*)</v>
      </c>
    </row>
    <row r="80" spans="1:12">
      <c r="A80">
        <v>31495</v>
      </c>
      <c r="B80" t="s">
        <v>493</v>
      </c>
      <c r="C80" t="s">
        <v>493</v>
      </c>
      <c r="D80">
        <f t="shared" si="9"/>
        <v>4</v>
      </c>
      <c r="E80" t="str">
        <f t="shared" si="10"/>
        <v>Paul</v>
      </c>
      <c r="F80">
        <v>0</v>
      </c>
      <c r="G80" t="s">
        <v>493</v>
      </c>
      <c r="J80" t="str">
        <f t="shared" si="13"/>
        <v>Concordia College St. Paul*</v>
      </c>
      <c r="K80" t="str">
        <f t="shared" si="11"/>
        <v>og=(Concordia College St. Paul*) OR oo=(Concordia College St. Paul*) OR ad=(Concordia College St. Paul*)</v>
      </c>
      <c r="L80" t="str">
        <f t="shared" si="12"/>
        <v>og=(Concordia College St. Paul*) OR oo=(Concordia College St. Paul*) OR ad=(Concordia College St. Paul*)</v>
      </c>
    </row>
    <row r="81" spans="1:12">
      <c r="A81">
        <v>31495</v>
      </c>
      <c r="B81" t="s">
        <v>496</v>
      </c>
      <c r="C81" t="s">
        <v>684</v>
      </c>
      <c r="D81">
        <f t="shared" si="9"/>
        <v>2</v>
      </c>
      <c r="E81" t="str">
        <f t="shared" si="10"/>
        <v>University</v>
      </c>
      <c r="F81">
        <v>1</v>
      </c>
      <c r="G81" t="s">
        <v>922</v>
      </c>
      <c r="J81" t="str">
        <f t="shared" si="13"/>
        <v>Loyola*</v>
      </c>
      <c r="K81" t="str">
        <f t="shared" si="11"/>
        <v>og=(Loyola*) OR oo=(Loyola*) OR ad=(Loyola*)</v>
      </c>
      <c r="L81" t="str">
        <f t="shared" si="12"/>
        <v>og=(Loyola*) OR oo=(Loyola*) OR ad=(Loyola*)</v>
      </c>
    </row>
    <row r="82" spans="1:12">
      <c r="A82">
        <v>31495</v>
      </c>
      <c r="B82" t="s">
        <v>492</v>
      </c>
      <c r="C82" t="s">
        <v>492</v>
      </c>
      <c r="D82">
        <f t="shared" si="9"/>
        <v>3</v>
      </c>
      <c r="E82" t="str">
        <f t="shared" si="10"/>
        <v>University</v>
      </c>
      <c r="F82">
        <v>1</v>
      </c>
      <c r="G82" t="s">
        <v>923</v>
      </c>
      <c r="J82" t="str">
        <f t="shared" si="13"/>
        <v>Metropolitan State*</v>
      </c>
      <c r="K82" t="str">
        <f t="shared" si="11"/>
        <v>og=(Metropolitan State*) OR oo=(Metropolitan State*) OR ad=(Metropolitan State*)</v>
      </c>
      <c r="L82" t="str">
        <f t="shared" si="12"/>
        <v>og=(Metropolitan State*) OR oo=(Metropolitan State*) OR ad=(Metropolitan State*)</v>
      </c>
    </row>
    <row r="83" spans="1:12">
      <c r="A83">
        <v>31495</v>
      </c>
      <c r="B83" t="s">
        <v>495</v>
      </c>
      <c r="C83" t="s">
        <v>495</v>
      </c>
      <c r="D83">
        <f t="shared" si="9"/>
        <v>2</v>
      </c>
      <c r="E83" t="str">
        <f t="shared" si="10"/>
        <v>College</v>
      </c>
      <c r="F83">
        <v>2</v>
      </c>
      <c r="G83" t="s">
        <v>924</v>
      </c>
      <c r="J83" t="str">
        <f t="shared" si="13"/>
        <v>Parkland*</v>
      </c>
      <c r="K83" t="str">
        <f t="shared" si="11"/>
        <v>og=(Parkland*) OR oo=(Parkland*) OR ad=(Parkland*)</v>
      </c>
      <c r="L83" t="str">
        <f t="shared" si="12"/>
        <v>og=(Parkland*) OR oo=(Parkland*) OR ad=(Parkland*)</v>
      </c>
    </row>
    <row r="84" spans="1:12">
      <c r="A84">
        <v>31495</v>
      </c>
      <c r="B84" t="s">
        <v>283</v>
      </c>
      <c r="C84" t="s">
        <v>702</v>
      </c>
      <c r="D84">
        <f t="shared" si="9"/>
        <v>4</v>
      </c>
      <c r="E84" t="str">
        <f t="shared" si="10"/>
        <v>Urbana-Champaign</v>
      </c>
      <c r="F84" t="s">
        <v>1036</v>
      </c>
      <c r="G84" t="s">
        <v>827</v>
      </c>
      <c r="H84" t="str">
        <f>TRIM(LEFT(SUBSTITUTE(G84,",",REPT(" ",99)),99))</f>
        <v>univ* Illinois</v>
      </c>
      <c r="I84" t="str">
        <f>TRIM(RIGHT(SUBSTITUTE(C84,",",REPT(" ",99)),99))</f>
        <v>Urbana-Champaign</v>
      </c>
      <c r="J84" t="str">
        <f>IF(MID(TRIM(H84),LEN(TRIM(H84)),1)="*",TRIM(H84),TRIM(H84)&amp;"*")</f>
        <v>univ* Illinois*</v>
      </c>
      <c r="K84" t="str">
        <f t="shared" si="11"/>
        <v>og=(univ* Illinois*) OR oo=(univ* Illinois*) OR ad=(univ* Illinois*)</v>
      </c>
      <c r="L84" t="str">
        <f t="shared" si="12"/>
        <v>(og=(univ* Illinois*) OR oo=(univ* Illinois*) OR ad=(univ* Illinois*)) AND ad=(Urbana-Champaign)</v>
      </c>
    </row>
    <row r="85" spans="1:12">
      <c r="A85">
        <v>32009</v>
      </c>
      <c r="B85" t="s">
        <v>81</v>
      </c>
      <c r="C85" t="s">
        <v>81</v>
      </c>
      <c r="D85">
        <f t="shared" si="9"/>
        <v>3</v>
      </c>
      <c r="E85" t="str">
        <f t="shared" si="10"/>
        <v>University</v>
      </c>
      <c r="F85">
        <v>1</v>
      </c>
      <c r="G85" t="s">
        <v>925</v>
      </c>
      <c r="J85" t="str">
        <f t="shared" ref="J85:J92" si="14">IF(MID(TRIM(G85),LEN(TRIM(G85)),1)="*",TRIM(G85),TRIM(G85)&amp;"*")</f>
        <v>Colorado State*</v>
      </c>
      <c r="K85" t="str">
        <f t="shared" si="11"/>
        <v>og=(Colorado State*) OR oo=(Colorado State*) OR ad=(Colorado State*)</v>
      </c>
      <c r="L85" t="str">
        <f t="shared" si="12"/>
        <v>og=(Colorado State*) OR oo=(Colorado State*) OR ad=(Colorado State*)</v>
      </c>
    </row>
    <row r="86" spans="1:12">
      <c r="A86">
        <v>32009</v>
      </c>
      <c r="B86" t="s">
        <v>183</v>
      </c>
      <c r="C86" t="s">
        <v>183</v>
      </c>
      <c r="D86">
        <f t="shared" si="9"/>
        <v>3</v>
      </c>
      <c r="E86" t="str">
        <f t="shared" si="10"/>
        <v>University</v>
      </c>
      <c r="F86">
        <v>1</v>
      </c>
      <c r="G86" t="s">
        <v>926</v>
      </c>
      <c r="J86" t="str">
        <f t="shared" si="14"/>
        <v>Murray State*</v>
      </c>
      <c r="K86" t="str">
        <f t="shared" si="11"/>
        <v>og=(Murray State*) OR oo=(Murray State*) OR ad=(Murray State*)</v>
      </c>
      <c r="L86" t="str">
        <f t="shared" si="12"/>
        <v>og=(Murray State*) OR oo=(Murray State*) OR ad=(Murray State*)</v>
      </c>
    </row>
    <row r="87" spans="1:12">
      <c r="A87">
        <v>32009</v>
      </c>
      <c r="B87" t="s">
        <v>197</v>
      </c>
      <c r="C87" t="s">
        <v>197</v>
      </c>
      <c r="D87">
        <f t="shared" si="9"/>
        <v>3</v>
      </c>
      <c r="E87" t="str">
        <f t="shared" si="10"/>
        <v>University</v>
      </c>
      <c r="F87">
        <v>1</v>
      </c>
      <c r="G87" t="s">
        <v>927</v>
      </c>
      <c r="J87" t="str">
        <f t="shared" si="14"/>
        <v>Ohio State*</v>
      </c>
      <c r="K87" t="str">
        <f t="shared" si="11"/>
        <v>og=(Ohio State*) OR oo=(Ohio State*) OR ad=(Ohio State*)</v>
      </c>
      <c r="L87" t="str">
        <f t="shared" si="12"/>
        <v>og=(Ohio State*) OR oo=(Ohio State*) OR ad=(Ohio State*)</v>
      </c>
    </row>
    <row r="88" spans="1:12">
      <c r="A88">
        <v>32009</v>
      </c>
      <c r="B88" t="s">
        <v>611</v>
      </c>
      <c r="C88" s="6" t="s">
        <v>285</v>
      </c>
      <c r="D88">
        <f t="shared" si="9"/>
        <v>3</v>
      </c>
      <c r="E88" t="str">
        <f t="shared" si="10"/>
        <v>Louisville</v>
      </c>
      <c r="F88">
        <v>3</v>
      </c>
      <c r="G88" s="6" t="s">
        <v>828</v>
      </c>
      <c r="H88" s="6"/>
      <c r="I88" s="6"/>
      <c r="J88" t="str">
        <f t="shared" si="14"/>
        <v>univ* Louisville*</v>
      </c>
      <c r="K88" t="str">
        <f t="shared" si="11"/>
        <v>og=(univ* Louisville*) OR oo=(univ* Louisville*) OR ad=(univ* Louisville*)</v>
      </c>
      <c r="L88" t="str">
        <f t="shared" si="12"/>
        <v>og=(univ* Louisville*) OR oo=(univ* Louisville*) OR ad=(univ* Louisville*)</v>
      </c>
    </row>
    <row r="89" spans="1:12">
      <c r="A89">
        <v>32009</v>
      </c>
      <c r="B89" t="s">
        <v>333</v>
      </c>
      <c r="C89" t="s">
        <v>333</v>
      </c>
      <c r="D89">
        <f t="shared" si="9"/>
        <v>3</v>
      </c>
      <c r="E89" t="str">
        <f t="shared" si="10"/>
        <v>University</v>
      </c>
      <c r="F89">
        <v>1</v>
      </c>
      <c r="G89" t="s">
        <v>928</v>
      </c>
      <c r="J89" t="str">
        <f t="shared" si="14"/>
        <v>West Virginia*</v>
      </c>
      <c r="K89" t="str">
        <f t="shared" si="11"/>
        <v>og=(West Virginia*) OR oo=(West Virginia*) OR ad=(West Virginia*)</v>
      </c>
      <c r="L89" t="str">
        <f t="shared" si="12"/>
        <v>og=(West Virginia*) OR oo=(West Virginia*) OR ad=(West Virginia*)</v>
      </c>
    </row>
    <row r="90" spans="1:12">
      <c r="A90">
        <v>32444</v>
      </c>
      <c r="B90" t="s">
        <v>455</v>
      </c>
      <c r="C90" t="s">
        <v>455</v>
      </c>
      <c r="D90">
        <f t="shared" si="9"/>
        <v>5</v>
      </c>
      <c r="E90" t="str">
        <f t="shared" si="10"/>
        <v>Studies</v>
      </c>
      <c r="F90">
        <v>0</v>
      </c>
      <c r="G90" t="s">
        <v>455</v>
      </c>
      <c r="J90" t="str">
        <f t="shared" si="14"/>
        <v>Cary Institute of Ecosystem Studies*</v>
      </c>
      <c r="K90" t="str">
        <f t="shared" si="11"/>
        <v>og=(Cary Institute of Ecosystem Studies*) OR oo=(Cary Institute of Ecosystem Studies*) OR ad=(Cary Institute of Ecosystem Studies*)</v>
      </c>
      <c r="L90" t="str">
        <f t="shared" si="12"/>
        <v>og=(Cary Institute of Ecosystem Studies*) OR oo=(Cary Institute of Ecosystem Studies*) OR ad=(Cary Institute of Ecosystem Studies*)</v>
      </c>
    </row>
    <row r="91" spans="1:12">
      <c r="A91">
        <v>32444</v>
      </c>
      <c r="B91" t="s">
        <v>94</v>
      </c>
      <c r="C91" t="s">
        <v>94</v>
      </c>
      <c r="D91">
        <f t="shared" si="9"/>
        <v>2</v>
      </c>
      <c r="E91" t="str">
        <f t="shared" si="10"/>
        <v>University</v>
      </c>
      <c r="F91">
        <v>1</v>
      </c>
      <c r="G91" t="s">
        <v>929</v>
      </c>
      <c r="J91" t="str">
        <f t="shared" si="14"/>
        <v>Cornell*</v>
      </c>
      <c r="K91" t="str">
        <f t="shared" si="11"/>
        <v>og=(Cornell*) OR oo=(Cornell*) OR ad=(Cornell*)</v>
      </c>
      <c r="L91" t="str">
        <f t="shared" si="12"/>
        <v>og=(Cornell*) OR oo=(Cornell*) OR ad=(Cornell*)</v>
      </c>
    </row>
    <row r="92" spans="1:12">
      <c r="A92">
        <v>32444</v>
      </c>
      <c r="B92" t="s">
        <v>103</v>
      </c>
      <c r="C92" t="s">
        <v>103</v>
      </c>
      <c r="D92">
        <f t="shared" si="9"/>
        <v>2</v>
      </c>
      <c r="E92" t="str">
        <f t="shared" si="10"/>
        <v>College</v>
      </c>
      <c r="F92">
        <v>2</v>
      </c>
      <c r="G92" t="s">
        <v>930</v>
      </c>
      <c r="J92" t="str">
        <f t="shared" si="14"/>
        <v>Dartmouth*</v>
      </c>
      <c r="K92" t="str">
        <f t="shared" si="11"/>
        <v>og=(Dartmouth*) OR oo=(Dartmouth*) OR ad=(Dartmouth*)</v>
      </c>
      <c r="L92" t="str">
        <f t="shared" si="12"/>
        <v>og=(Dartmouth*) OR oo=(Dartmouth*) OR ad=(Dartmouth*)</v>
      </c>
    </row>
    <row r="93" spans="1:12">
      <c r="A93">
        <v>32444</v>
      </c>
      <c r="B93" t="s">
        <v>576</v>
      </c>
      <c r="C93" t="s">
        <v>689</v>
      </c>
      <c r="D93">
        <f t="shared" si="9"/>
        <v>7</v>
      </c>
      <c r="E93" t="str">
        <f t="shared" si="10"/>
        <v>Paltz</v>
      </c>
      <c r="F93">
        <v>5</v>
      </c>
      <c r="G93" t="s">
        <v>689</v>
      </c>
      <c r="H93" t="str">
        <f>TRIM(LEFT(SUBSTITUTE(G93,",",REPT(" ",99)),99))</f>
        <v>State University of New York</v>
      </c>
      <c r="I93" t="str">
        <f>TRIM(RIGHT(SUBSTITUTE(C93,",",REPT(" ",99)),99))</f>
        <v>New Paltz</v>
      </c>
      <c r="J93" t="str">
        <f>IF(MID(TRIM(H93),LEN(TRIM(H93)),1)="*",TRIM(H93),TRIM(H93)&amp;"*")</f>
        <v>State University of New York*</v>
      </c>
      <c r="K93" t="str">
        <f t="shared" si="11"/>
        <v>og=(State University of New York*) OR oo=(State University of New York*) OR ad=(State University of New York*)</v>
      </c>
      <c r="L93" t="str">
        <f t="shared" si="12"/>
        <v>(og=(State University of New York*) OR oo=(State University of New York*) OR ad=(State University of New York*)) AND ad=(New Paltz)</v>
      </c>
    </row>
    <row r="94" spans="1:12">
      <c r="A94">
        <v>32444</v>
      </c>
      <c r="B94" t="s">
        <v>576</v>
      </c>
      <c r="C94" t="s">
        <v>689</v>
      </c>
      <c r="D94">
        <v>7</v>
      </c>
      <c r="E94" t="s">
        <v>801</v>
      </c>
      <c r="F94">
        <v>5</v>
      </c>
      <c r="G94" s="8" t="s">
        <v>689</v>
      </c>
      <c r="H94" t="s">
        <v>1028</v>
      </c>
      <c r="I94" t="str">
        <f>TRIM(RIGHT(SUBSTITUTE(C94,",",REPT(" ",99)),99))</f>
        <v>New Paltz</v>
      </c>
      <c r="J94" t="str">
        <f>IF(MID(TRIM(H94),LEN(TRIM(H94)),1)="*",TRIM(H94),TRIM(H94)&amp;"*")</f>
        <v>SUNY*</v>
      </c>
      <c r="K94" t="str">
        <f t="shared" si="11"/>
        <v>og=(SUNY*) OR oo=(SUNY*) OR ad=(SUNY*)</v>
      </c>
      <c r="L94" t="str">
        <f t="shared" si="12"/>
        <v>(og=(SUNY*) OR oo=(SUNY*) OR ad=(SUNY*)) AND ad=(New Paltz)</v>
      </c>
    </row>
    <row r="95" spans="1:12">
      <c r="A95">
        <v>32444</v>
      </c>
      <c r="B95" t="s">
        <v>456</v>
      </c>
      <c r="C95" t="s">
        <v>456</v>
      </c>
      <c r="D95">
        <f t="shared" ref="D95:D119" si="15">LEN(TRIM(C95))-LEN(SUBSTITUTE(C95," ",""))+1</f>
        <v>4</v>
      </c>
      <c r="E95" t="str">
        <f t="shared" ref="E95:E119" si="16">TRIM(RIGHT(SUBSTITUTE(C95," ",REPT(" ",99)),99))</f>
        <v>Center</v>
      </c>
      <c r="F95">
        <v>0</v>
      </c>
      <c r="G95" t="s">
        <v>456</v>
      </c>
      <c r="J95" t="str">
        <f t="shared" ref="J95:J103" si="17">IF(MID(TRIM(G95),LEN(TRIM(G95)),1)="*",TRIM(G95),TRIM(G95)&amp;"*")</f>
        <v>Stroud Water Research Center*</v>
      </c>
      <c r="K95" t="str">
        <f t="shared" si="11"/>
        <v>og=(Stroud Water Research Center*) OR oo=(Stroud Water Research Center*) OR ad=(Stroud Water Research Center*)</v>
      </c>
      <c r="L95" t="str">
        <f t="shared" si="12"/>
        <v>og=(Stroud Water Research Center*) OR oo=(Stroud Water Research Center*) OR ad=(Stroud Water Research Center*)</v>
      </c>
    </row>
    <row r="96" spans="1:12">
      <c r="A96">
        <v>32444</v>
      </c>
      <c r="B96" t="s">
        <v>431</v>
      </c>
      <c r="C96" t="s">
        <v>431</v>
      </c>
      <c r="D96">
        <f t="shared" si="15"/>
        <v>3</v>
      </c>
      <c r="E96" t="str">
        <f t="shared" si="16"/>
        <v>Maryland</v>
      </c>
      <c r="F96">
        <v>3</v>
      </c>
      <c r="G96" t="s">
        <v>829</v>
      </c>
      <c r="J96" t="str">
        <f t="shared" si="17"/>
        <v>univ* Maryland*</v>
      </c>
      <c r="K96" t="str">
        <f t="shared" si="11"/>
        <v>og=(univ* Maryland*) OR oo=(univ* Maryland*) OR ad=(univ* Maryland*)</v>
      </c>
      <c r="L96" t="str">
        <f t="shared" si="12"/>
        <v>og=(univ* Maryland*) OR oo=(univ* Maryland*) OR ad=(univ* Maryland*)</v>
      </c>
    </row>
    <row r="97" spans="1:12">
      <c r="A97">
        <v>32896</v>
      </c>
      <c r="B97" t="s">
        <v>217</v>
      </c>
      <c r="C97" t="s">
        <v>217</v>
      </c>
      <c r="D97">
        <f t="shared" si="15"/>
        <v>3</v>
      </c>
      <c r="E97" t="str">
        <f t="shared" si="16"/>
        <v>University</v>
      </c>
      <c r="F97">
        <v>1</v>
      </c>
      <c r="G97" t="s">
        <v>931</v>
      </c>
      <c r="J97" t="str">
        <f t="shared" si="17"/>
        <v>Santa Clara*</v>
      </c>
      <c r="K97" t="str">
        <f t="shared" si="11"/>
        <v>og=(Santa Clara*) OR oo=(Santa Clara*) OR ad=(Santa Clara*)</v>
      </c>
      <c r="L97" t="str">
        <f t="shared" si="12"/>
        <v>og=(Santa Clara*) OR oo=(Santa Clara*) OR ad=(Santa Clara*)</v>
      </c>
    </row>
    <row r="98" spans="1:12">
      <c r="A98">
        <v>32896</v>
      </c>
      <c r="B98" t="s">
        <v>319</v>
      </c>
      <c r="C98" t="s">
        <v>319</v>
      </c>
      <c r="D98">
        <f t="shared" si="15"/>
        <v>3</v>
      </c>
      <c r="E98" t="str">
        <f t="shared" si="16"/>
        <v>Wyoming</v>
      </c>
      <c r="F98">
        <v>3</v>
      </c>
      <c r="G98" t="s">
        <v>830</v>
      </c>
      <c r="J98" t="str">
        <f t="shared" si="17"/>
        <v>univ* Wyoming*</v>
      </c>
      <c r="K98" t="str">
        <f t="shared" si="11"/>
        <v>og=(univ* Wyoming*) OR oo=(univ* Wyoming*) OR ad=(univ* Wyoming*)</v>
      </c>
      <c r="L98" t="str">
        <f t="shared" si="12"/>
        <v>og=(univ* Wyoming*) OR oo=(univ* Wyoming*) OR ad=(univ* Wyoming*)</v>
      </c>
    </row>
    <row r="99" spans="1:12">
      <c r="A99">
        <v>32896</v>
      </c>
      <c r="B99" t="s">
        <v>340</v>
      </c>
      <c r="C99" t="s">
        <v>340</v>
      </c>
      <c r="D99">
        <f t="shared" si="15"/>
        <v>2</v>
      </c>
      <c r="E99" t="str">
        <f t="shared" si="16"/>
        <v>University</v>
      </c>
      <c r="F99">
        <v>1</v>
      </c>
      <c r="G99" t="s">
        <v>932</v>
      </c>
      <c r="J99" t="str">
        <f t="shared" si="17"/>
        <v>Yale*</v>
      </c>
      <c r="K99" t="str">
        <f t="shared" si="11"/>
        <v>og=(Yale*) OR oo=(Yale*) OR ad=(Yale*)</v>
      </c>
      <c r="L99" t="str">
        <f t="shared" si="12"/>
        <v>og=(Yale*) OR oo=(Yale*) OR ad=(Yale*)</v>
      </c>
    </row>
    <row r="100" spans="1:12">
      <c r="A100">
        <v>32937</v>
      </c>
      <c r="B100" t="s">
        <v>502</v>
      </c>
      <c r="C100" t="s">
        <v>502</v>
      </c>
      <c r="D100">
        <f t="shared" si="15"/>
        <v>5</v>
      </c>
      <c r="E100" t="str">
        <f t="shared" si="16"/>
        <v>Grenoble</v>
      </c>
      <c r="F100">
        <v>0</v>
      </c>
      <c r="G100" t="s">
        <v>502</v>
      </c>
      <c r="J100" t="str">
        <f t="shared" si="17"/>
        <v>Centre d’Études Nucléaires de Grenoble*</v>
      </c>
      <c r="K100" t="str">
        <f t="shared" si="11"/>
        <v>og=(Centre d’Études Nucléaires de Grenoble*) OR oo=(Centre d’Études Nucléaires de Grenoble*) OR ad=(Centre d’Études Nucléaires de Grenoble*)</v>
      </c>
      <c r="L100" t="str">
        <f t="shared" si="12"/>
        <v>og=(Centre d’Études Nucléaires de Grenoble*) OR oo=(Centre d’Études Nucléaires de Grenoble*) OR ad=(Centre d’Études Nucléaires de Grenoble*)</v>
      </c>
    </row>
    <row r="101" spans="1:12">
      <c r="A101">
        <v>32937</v>
      </c>
      <c r="B101" t="s">
        <v>497</v>
      </c>
      <c r="C101" t="s">
        <v>497</v>
      </c>
      <c r="D101">
        <f t="shared" si="15"/>
        <v>4</v>
      </c>
      <c r="E101" t="str">
        <f t="shared" si="16"/>
        <v>Technology</v>
      </c>
      <c r="F101">
        <v>0</v>
      </c>
      <c r="G101" t="s">
        <v>497</v>
      </c>
      <c r="J101" t="str">
        <f t="shared" si="17"/>
        <v>Israel Institute of Technology*</v>
      </c>
      <c r="K101" t="str">
        <f t="shared" si="11"/>
        <v>og=(Israel Institute of Technology*) OR oo=(Israel Institute of Technology*) OR ad=(Israel Institute of Technology*)</v>
      </c>
      <c r="L101" t="str">
        <f t="shared" si="12"/>
        <v>og=(Israel Institute of Technology*) OR oo=(Israel Institute of Technology*) OR ad=(Israel Institute of Technology*)</v>
      </c>
    </row>
    <row r="102" spans="1:12">
      <c r="A102">
        <v>32937</v>
      </c>
      <c r="B102" t="s">
        <v>501</v>
      </c>
      <c r="C102" t="s">
        <v>501</v>
      </c>
      <c r="D102">
        <f t="shared" si="15"/>
        <v>4</v>
      </c>
      <c r="E102" t="str">
        <f t="shared" si="16"/>
        <v>Technology</v>
      </c>
      <c r="F102">
        <v>0</v>
      </c>
      <c r="G102" t="s">
        <v>501</v>
      </c>
      <c r="J102" t="str">
        <f t="shared" si="17"/>
        <v>Tokyo Institute of Technology*</v>
      </c>
      <c r="K102" t="str">
        <f t="shared" si="11"/>
        <v>og=(Tokyo Institute of Technology*) OR oo=(Tokyo Institute of Technology*) OR ad=(Tokyo Institute of Technology*)</v>
      </c>
      <c r="L102" t="str">
        <f t="shared" si="12"/>
        <v>og=(Tokyo Institute of Technology*) OR oo=(Tokyo Institute of Technology*) OR ad=(Tokyo Institute of Technology*)</v>
      </c>
    </row>
    <row r="103" spans="1:12">
      <c r="A103">
        <v>32937</v>
      </c>
      <c r="B103" t="s">
        <v>499</v>
      </c>
      <c r="C103" t="s">
        <v>499</v>
      </c>
      <c r="D103">
        <f t="shared" si="15"/>
        <v>3</v>
      </c>
      <c r="E103" t="str">
        <f t="shared" si="16"/>
        <v>Bologna</v>
      </c>
      <c r="F103">
        <v>3</v>
      </c>
      <c r="G103" t="s">
        <v>831</v>
      </c>
      <c r="J103" t="str">
        <f t="shared" si="17"/>
        <v>univ* Bologna*</v>
      </c>
      <c r="K103" t="str">
        <f t="shared" si="11"/>
        <v>og=(univ* Bologna*) OR oo=(univ* Bologna*) OR ad=(univ* Bologna*)</v>
      </c>
      <c r="L103" t="str">
        <f t="shared" si="12"/>
        <v>og=(univ* Bologna*) OR oo=(univ* Bologna*) OR ad=(univ* Bologna*)</v>
      </c>
    </row>
    <row r="104" spans="1:12">
      <c r="A104">
        <v>32937</v>
      </c>
      <c r="B104" t="s">
        <v>275</v>
      </c>
      <c r="C104" t="s">
        <v>699</v>
      </c>
      <c r="D104">
        <f t="shared" si="15"/>
        <v>4</v>
      </c>
      <c r="E104" t="str">
        <f t="shared" si="16"/>
        <v>Mercy</v>
      </c>
      <c r="F104" t="s">
        <v>1036</v>
      </c>
      <c r="G104" t="s">
        <v>832</v>
      </c>
      <c r="H104" t="str">
        <f>TRIM(LEFT(SUBSTITUTE(G104,",",REPT(" ",99)),99))</f>
        <v>univ* Detroit</v>
      </c>
      <c r="I104" t="str">
        <f>TRIM(RIGHT(SUBSTITUTE(C104,",",REPT(" ",99)),99))</f>
        <v>Mercy</v>
      </c>
      <c r="J104" t="str">
        <f>IF(MID(TRIM(H104),LEN(TRIM(H104)),1)="*",TRIM(H104),TRIM(H104)&amp;"*")</f>
        <v>univ* Detroit*</v>
      </c>
      <c r="K104" t="str">
        <f t="shared" si="11"/>
        <v>og=(univ* Detroit*) OR oo=(univ* Detroit*) OR ad=(univ* Detroit*)</v>
      </c>
      <c r="L104" t="str">
        <f t="shared" si="12"/>
        <v>(og=(univ* Detroit*) OR oo=(univ* Detroit*) OR ad=(univ* Detroit*)) AND ad=(Mercy)</v>
      </c>
    </row>
    <row r="105" spans="1:12">
      <c r="A105">
        <v>32937</v>
      </c>
      <c r="B105" t="s">
        <v>500</v>
      </c>
      <c r="C105" t="s">
        <v>500</v>
      </c>
      <c r="D105">
        <f t="shared" si="15"/>
        <v>3</v>
      </c>
      <c r="E105" t="str">
        <f t="shared" si="16"/>
        <v>Florence</v>
      </c>
      <c r="F105">
        <v>3</v>
      </c>
      <c r="G105" t="s">
        <v>833</v>
      </c>
      <c r="J105" t="str">
        <f t="shared" ref="J105:J113" si="18">IF(MID(TRIM(G105),LEN(TRIM(G105)),1)="*",TRIM(G105),TRIM(G105)&amp;"*")</f>
        <v>univ* Florence*</v>
      </c>
      <c r="K105" t="str">
        <f t="shared" si="11"/>
        <v>og=(univ* Florence*) OR oo=(univ* Florence*) OR ad=(univ* Florence*)</v>
      </c>
      <c r="L105" t="str">
        <f t="shared" si="12"/>
        <v>og=(univ* Florence*) OR oo=(univ* Florence*) OR ad=(univ* Florence*)</v>
      </c>
    </row>
    <row r="106" spans="1:12">
      <c r="A106">
        <v>32937</v>
      </c>
      <c r="B106" t="s">
        <v>498</v>
      </c>
      <c r="C106" t="s">
        <v>498</v>
      </c>
      <c r="D106">
        <f t="shared" si="15"/>
        <v>4</v>
      </c>
      <c r="E106" t="str">
        <f t="shared" si="16"/>
        <v>Science</v>
      </c>
      <c r="F106">
        <v>0</v>
      </c>
      <c r="G106" t="s">
        <v>498</v>
      </c>
      <c r="J106" t="str">
        <f t="shared" si="18"/>
        <v>Weizmann Institute of Science*</v>
      </c>
      <c r="K106" t="str">
        <f t="shared" si="11"/>
        <v>og=(Weizmann Institute of Science*) OR oo=(Weizmann Institute of Science*) OR ad=(Weizmann Institute of Science*)</v>
      </c>
      <c r="L106" t="str">
        <f t="shared" si="12"/>
        <v>og=(Weizmann Institute of Science*) OR oo=(Weizmann Institute of Science*) OR ad=(Weizmann Institute of Science*)</v>
      </c>
    </row>
    <row r="107" spans="1:12">
      <c r="A107">
        <v>32986</v>
      </c>
      <c r="B107" t="s">
        <v>12</v>
      </c>
      <c r="C107" t="s">
        <v>12</v>
      </c>
      <c r="D107">
        <f t="shared" si="15"/>
        <v>3</v>
      </c>
      <c r="E107" t="str">
        <f t="shared" si="16"/>
        <v>University</v>
      </c>
      <c r="F107">
        <v>1</v>
      </c>
      <c r="G107" t="s">
        <v>933</v>
      </c>
      <c r="J107" t="str">
        <f t="shared" si="18"/>
        <v>Arizona State*</v>
      </c>
      <c r="K107" t="str">
        <f t="shared" si="11"/>
        <v>og=(Arizona State*) OR oo=(Arizona State*) OR ad=(Arizona State*)</v>
      </c>
      <c r="L107" t="str">
        <f t="shared" si="12"/>
        <v>og=(Arizona State*) OR oo=(Arizona State*) OR ad=(Arizona State*)</v>
      </c>
    </row>
    <row r="108" spans="1:12">
      <c r="A108">
        <v>32986</v>
      </c>
      <c r="B108" t="s">
        <v>17</v>
      </c>
      <c r="C108" t="s">
        <v>17</v>
      </c>
      <c r="D108">
        <f t="shared" si="15"/>
        <v>2</v>
      </c>
      <c r="E108" t="str">
        <f t="shared" si="16"/>
        <v>College</v>
      </c>
      <c r="F108">
        <v>2</v>
      </c>
      <c r="G108" t="s">
        <v>934</v>
      </c>
      <c r="J108" t="str">
        <f t="shared" si="18"/>
        <v>Bates*</v>
      </c>
      <c r="K108" t="str">
        <f t="shared" si="11"/>
        <v>og=(Bates*) OR oo=(Bates*) OR ad=(Bates*)</v>
      </c>
      <c r="L108" t="str">
        <f t="shared" si="12"/>
        <v>og=(Bates*) OR oo=(Bates*) OR ad=(Bates*)</v>
      </c>
    </row>
    <row r="109" spans="1:12">
      <c r="A109">
        <v>32986</v>
      </c>
      <c r="B109" t="s">
        <v>508</v>
      </c>
      <c r="C109" t="s">
        <v>508</v>
      </c>
      <c r="D109">
        <f t="shared" si="15"/>
        <v>2</v>
      </c>
      <c r="E109" t="str">
        <f t="shared" si="16"/>
        <v>University</v>
      </c>
      <c r="F109">
        <v>1</v>
      </c>
      <c r="G109" t="s">
        <v>935</v>
      </c>
      <c r="J109" t="str">
        <f t="shared" si="18"/>
        <v>Columbia*</v>
      </c>
      <c r="K109" t="str">
        <f t="shared" si="11"/>
        <v>og=(Columbia*) OR oo=(Columbia*) OR ad=(Columbia*)</v>
      </c>
      <c r="L109" t="str">
        <f t="shared" si="12"/>
        <v>og=(Columbia*) OR oo=(Columbia*) OR ad=(Columbia*)</v>
      </c>
    </row>
    <row r="110" spans="1:12">
      <c r="A110">
        <v>32986</v>
      </c>
      <c r="B110" t="s">
        <v>266</v>
      </c>
      <c r="C110" t="s">
        <v>266</v>
      </c>
      <c r="D110">
        <f t="shared" si="15"/>
        <v>2</v>
      </c>
      <c r="E110" t="str">
        <f t="shared" si="16"/>
        <v>University</v>
      </c>
      <c r="F110">
        <v>1</v>
      </c>
      <c r="G110" t="s">
        <v>936</v>
      </c>
      <c r="J110" t="str">
        <f t="shared" si="18"/>
        <v>Tulane*</v>
      </c>
      <c r="K110" t="str">
        <f t="shared" si="11"/>
        <v>og=(Tulane*) OR oo=(Tulane*) OR ad=(Tulane*)</v>
      </c>
      <c r="L110" t="str">
        <f t="shared" si="12"/>
        <v>og=(Tulane*) OR oo=(Tulane*) OR ad=(Tulane*)</v>
      </c>
    </row>
    <row r="111" spans="1:12">
      <c r="A111">
        <v>32986</v>
      </c>
      <c r="B111" t="s">
        <v>322</v>
      </c>
      <c r="C111" t="s">
        <v>322</v>
      </c>
      <c r="D111">
        <f t="shared" si="15"/>
        <v>2</v>
      </c>
      <c r="E111" t="str">
        <f t="shared" si="16"/>
        <v>University</v>
      </c>
      <c r="F111">
        <v>1</v>
      </c>
      <c r="G111" t="s">
        <v>937</v>
      </c>
      <c r="J111" t="str">
        <f t="shared" si="18"/>
        <v>Villanova*</v>
      </c>
      <c r="K111" t="str">
        <f t="shared" si="11"/>
        <v>og=(Villanova*) OR oo=(Villanova*) OR ad=(Villanova*)</v>
      </c>
      <c r="L111" t="str">
        <f t="shared" si="12"/>
        <v>og=(Villanova*) OR oo=(Villanova*) OR ad=(Villanova*)</v>
      </c>
    </row>
    <row r="112" spans="1:12">
      <c r="A112">
        <v>32986</v>
      </c>
      <c r="B112" t="s">
        <v>340</v>
      </c>
      <c r="C112" t="s">
        <v>340</v>
      </c>
      <c r="D112">
        <f t="shared" si="15"/>
        <v>2</v>
      </c>
      <c r="E112" t="str">
        <f t="shared" si="16"/>
        <v>University</v>
      </c>
      <c r="F112">
        <v>1</v>
      </c>
      <c r="G112" t="s">
        <v>932</v>
      </c>
      <c r="J112" t="str">
        <f t="shared" si="18"/>
        <v>Yale*</v>
      </c>
      <c r="K112" t="str">
        <f t="shared" si="11"/>
        <v>og=(Yale*) OR oo=(Yale*) OR ad=(Yale*)</v>
      </c>
      <c r="L112" t="str">
        <f t="shared" si="12"/>
        <v>og=(Yale*) OR oo=(Yale*) OR ad=(Yale*)</v>
      </c>
    </row>
    <row r="113" spans="1:12">
      <c r="A113">
        <v>33130</v>
      </c>
      <c r="B113" t="s">
        <v>113</v>
      </c>
      <c r="C113" t="s">
        <v>113</v>
      </c>
      <c r="D113">
        <f t="shared" si="15"/>
        <v>2</v>
      </c>
      <c r="E113" t="str">
        <f t="shared" si="16"/>
        <v>University</v>
      </c>
      <c r="F113">
        <v>1</v>
      </c>
      <c r="G113" t="s">
        <v>938</v>
      </c>
      <c r="J113" t="str">
        <f t="shared" si="18"/>
        <v>Fairfield*</v>
      </c>
      <c r="K113" t="str">
        <f t="shared" si="11"/>
        <v>og=(Fairfield*) OR oo=(Fairfield*) OR ad=(Fairfield*)</v>
      </c>
      <c r="L113" t="str">
        <f t="shared" si="12"/>
        <v>og=(Fairfield*) OR oo=(Fairfield*) OR ad=(Fairfield*)</v>
      </c>
    </row>
    <row r="114" spans="1:12">
      <c r="A114">
        <v>33130</v>
      </c>
      <c r="B114" t="s">
        <v>612</v>
      </c>
      <c r="C114" s="6" t="s">
        <v>392</v>
      </c>
      <c r="D114">
        <f t="shared" si="15"/>
        <v>4</v>
      </c>
      <c r="E114" t="str">
        <f t="shared" si="16"/>
        <v>Berkeley</v>
      </c>
      <c r="F114" t="s">
        <v>1036</v>
      </c>
      <c r="G114" s="6" t="s">
        <v>816</v>
      </c>
      <c r="H114" t="str">
        <f>TRIM(LEFT(SUBSTITUTE(G114,",",REPT(" ",99)),99))</f>
        <v>univ* California</v>
      </c>
      <c r="I114" t="str">
        <f>TRIM(RIGHT(SUBSTITUTE(C114,",",REPT(" ",99)),99))</f>
        <v>Berkeley</v>
      </c>
      <c r="J114" t="str">
        <f>IF(MID(TRIM(H114),LEN(TRIM(H114)),1)="*",TRIM(H114),TRIM(H114)&amp;"*")</f>
        <v>univ* California*</v>
      </c>
      <c r="K114" t="str">
        <f t="shared" si="11"/>
        <v>og=(univ* California*) OR oo=(univ* California*) OR ad=(univ* California*)</v>
      </c>
      <c r="L114" t="str">
        <f t="shared" si="12"/>
        <v>(og=(univ* California*) OR oo=(univ* California*) OR ad=(univ* California*)) AND ad=(Berkeley)</v>
      </c>
    </row>
    <row r="115" spans="1:12">
      <c r="A115">
        <v>33130</v>
      </c>
      <c r="B115" t="s">
        <v>340</v>
      </c>
      <c r="C115" t="s">
        <v>340</v>
      </c>
      <c r="D115">
        <f t="shared" si="15"/>
        <v>2</v>
      </c>
      <c r="E115" t="str">
        <f t="shared" si="16"/>
        <v>University</v>
      </c>
      <c r="F115">
        <v>1</v>
      </c>
      <c r="G115" t="s">
        <v>932</v>
      </c>
      <c r="J115" t="str">
        <f>IF(MID(TRIM(G115),LEN(TRIM(G115)),1)="*",TRIM(G115),TRIM(G115)&amp;"*")</f>
        <v>Yale*</v>
      </c>
      <c r="K115" t="str">
        <f t="shared" si="11"/>
        <v>og=(Yale*) OR oo=(Yale*) OR ad=(Yale*)</v>
      </c>
      <c r="L115" t="str">
        <f t="shared" si="12"/>
        <v>og=(Yale*) OR oo=(Yale*) OR ad=(Yale*)</v>
      </c>
    </row>
    <row r="116" spans="1:12">
      <c r="A116">
        <v>33177</v>
      </c>
      <c r="B116" t="s">
        <v>457</v>
      </c>
      <c r="C116" t="s">
        <v>457</v>
      </c>
      <c r="D116">
        <f t="shared" si="15"/>
        <v>3</v>
      </c>
      <c r="E116" t="str">
        <f t="shared" si="16"/>
        <v>University</v>
      </c>
      <c r="F116">
        <v>1</v>
      </c>
      <c r="G116" t="s">
        <v>939</v>
      </c>
      <c r="J116" t="str">
        <f>IF(MID(TRIM(G116),LEN(TRIM(G116)),1)="*",TRIM(G116),TRIM(G116)&amp;"*")</f>
        <v>Beijing Jiao-Tong*</v>
      </c>
      <c r="K116" t="str">
        <f t="shared" si="11"/>
        <v>og=(Beijing Jiao-Tong*) OR oo=(Beijing Jiao-Tong*) OR ad=(Beijing Jiao-Tong*)</v>
      </c>
      <c r="L116" t="str">
        <f t="shared" si="12"/>
        <v>og=(Beijing Jiao-Tong*) OR oo=(Beijing Jiao-Tong*) OR ad=(Beijing Jiao-Tong*)</v>
      </c>
    </row>
    <row r="117" spans="1:12">
      <c r="A117">
        <v>33177</v>
      </c>
      <c r="B117" t="s">
        <v>223</v>
      </c>
      <c r="C117" t="s">
        <v>687</v>
      </c>
      <c r="D117">
        <f t="shared" si="15"/>
        <v>4</v>
      </c>
      <c r="E117" t="str">
        <f t="shared" si="16"/>
        <v>Edwardsville</v>
      </c>
      <c r="F117" t="s">
        <v>1033</v>
      </c>
      <c r="G117" t="s">
        <v>687</v>
      </c>
      <c r="H117" t="s">
        <v>1029</v>
      </c>
      <c r="I117" t="str">
        <f>TRIM(RIGHT(SUBSTITUTE(C117,",",REPT(" ",99)),99))</f>
        <v>Edwardsville</v>
      </c>
      <c r="J117" t="str">
        <f>IF(MID(TRIM(H117),LEN(TRIM(H117)),1)="*",TRIM(H117),TRIM(H117)&amp;"*")</f>
        <v>Southern Illinois Univ*</v>
      </c>
      <c r="K117" t="str">
        <f t="shared" si="11"/>
        <v>og=(Southern Illinois Univ*) OR oo=(Southern Illinois Univ*) OR ad=(Southern Illinois Univ*)</v>
      </c>
      <c r="L117" t="str">
        <f t="shared" si="12"/>
        <v>(og=(Southern Illinois Univ*) OR oo=(Southern Illinois Univ*) OR ad=(Southern Illinois Univ*)) AND ad=(Edwardsville)</v>
      </c>
    </row>
    <row r="118" spans="1:12">
      <c r="A118">
        <v>33177</v>
      </c>
      <c r="B118" t="s">
        <v>303</v>
      </c>
      <c r="C118" t="s">
        <v>303</v>
      </c>
      <c r="D118">
        <f t="shared" si="15"/>
        <v>4</v>
      </c>
      <c r="E118" t="str">
        <f t="shared" si="16"/>
        <v>Florida</v>
      </c>
      <c r="F118">
        <v>3</v>
      </c>
      <c r="G118" t="s">
        <v>834</v>
      </c>
      <c r="J118" t="str">
        <f>IF(MID(TRIM(G118),LEN(TRIM(G118)),1)="*",TRIM(G118),TRIM(G118)&amp;"*")</f>
        <v>univ* South Florida*</v>
      </c>
      <c r="K118" t="str">
        <f t="shared" si="11"/>
        <v>og=(univ* South Florida*) OR oo=(univ* South Florida*) OR ad=(univ* South Florida*)</v>
      </c>
      <c r="L118" t="str">
        <f t="shared" si="12"/>
        <v>og=(univ* South Florida*) OR oo=(univ* South Florida*) OR ad=(univ* South Florida*)</v>
      </c>
    </row>
    <row r="119" spans="1:12">
      <c r="A119">
        <v>33422</v>
      </c>
      <c r="B119" t="s">
        <v>578</v>
      </c>
      <c r="C119" t="s">
        <v>795</v>
      </c>
      <c r="D119">
        <f t="shared" si="15"/>
        <v>8</v>
      </c>
      <c r="E119" t="str">
        <f t="shared" si="16"/>
        <v>Island</v>
      </c>
      <c r="F119">
        <v>5</v>
      </c>
      <c r="G119" t="s">
        <v>795</v>
      </c>
      <c r="H119" t="str">
        <f>TRIM(LEFT(SUBSTITUTE(G119,",",REPT(" ",99)),99))</f>
        <v>City University of New York</v>
      </c>
      <c r="I119" t="str">
        <f>TRIM(RIGHT(SUBSTITUTE(C119,",",REPT(" ",99)),99))</f>
        <v>Staten Island</v>
      </c>
      <c r="J119" t="str">
        <f>IF(MID(TRIM(H119),LEN(TRIM(H119)),1)="*",TRIM(H119),TRIM(H119)&amp;"*")</f>
        <v>City University of New York*</v>
      </c>
      <c r="K119" t="str">
        <f t="shared" si="11"/>
        <v>og=(City University of New York*) OR oo=(City University of New York*) OR ad=(City University of New York*)</v>
      </c>
      <c r="L119" t="str">
        <f t="shared" si="12"/>
        <v>(og=(City University of New York*) OR oo=(City University of New York*) OR ad=(City University of New York*)) AND ad=(Staten Island)</v>
      </c>
    </row>
    <row r="120" spans="1:12">
      <c r="A120">
        <v>33422</v>
      </c>
      <c r="B120" t="s">
        <v>578</v>
      </c>
      <c r="C120" t="s">
        <v>795</v>
      </c>
      <c r="D120">
        <v>8</v>
      </c>
      <c r="E120" t="s">
        <v>797</v>
      </c>
      <c r="F120">
        <v>5</v>
      </c>
      <c r="G120" s="8" t="s">
        <v>795</v>
      </c>
      <c r="H120" t="s">
        <v>1030</v>
      </c>
      <c r="I120" t="str">
        <f>TRIM(RIGHT(SUBSTITUTE(C120,",",REPT(" ",99)),99))</f>
        <v>Staten Island</v>
      </c>
      <c r="J120" t="str">
        <f>IF(MID(TRIM(H120),LEN(TRIM(H120)),1)="*",TRIM(H120),TRIM(H120)&amp;"*")</f>
        <v>CUNY*</v>
      </c>
      <c r="K120" t="str">
        <f t="shared" si="11"/>
        <v>og=(CUNY*) OR oo=(CUNY*) OR ad=(CUNY*)</v>
      </c>
      <c r="L120" t="str">
        <f t="shared" si="12"/>
        <v>(og=(CUNY*) OR oo=(CUNY*) OR ad=(CUNY*)) AND ad=(Staten Island)</v>
      </c>
    </row>
    <row r="121" spans="1:12">
      <c r="A121">
        <v>33422</v>
      </c>
      <c r="B121" t="s">
        <v>381</v>
      </c>
      <c r="C121" t="s">
        <v>381</v>
      </c>
      <c r="D121">
        <f>LEN(TRIM(C121))-LEN(SUBSTITUTE(C121," ",""))+1</f>
        <v>2</v>
      </c>
      <c r="E121" t="str">
        <f>TRIM(RIGHT(SUBSTITUTE(C121," ",REPT(" ",99)),99))</f>
        <v>University</v>
      </c>
      <c r="F121">
        <v>1</v>
      </c>
      <c r="G121" s="8" t="s">
        <v>940</v>
      </c>
      <c r="H121" s="8" t="s">
        <v>1038</v>
      </c>
      <c r="I121" s="8"/>
      <c r="J121" t="str">
        <f>IF(MID(TRIM(H121),LEN(TRIM(H121)),1)="*",TRIM(H121),TRIM(H121)&amp;"*")</f>
        <v>Tshing Hua*</v>
      </c>
      <c r="K121" t="str">
        <f t="shared" si="11"/>
        <v>og=(Tshing Hua*) OR oo=(Tshing Hua*) OR ad=(Tshing Hua*)</v>
      </c>
      <c r="L121" t="str">
        <f t="shared" si="12"/>
        <v>og=(Tshing Hua*) OR oo=(Tshing Hua*) OR ad=(Tshing Hua*)</v>
      </c>
    </row>
    <row r="122" spans="1:12">
      <c r="A122">
        <v>33422</v>
      </c>
      <c r="B122" t="s">
        <v>381</v>
      </c>
      <c r="C122" t="s">
        <v>381</v>
      </c>
      <c r="D122">
        <f>LEN(TRIM(C122))-LEN(SUBSTITUTE(C122," ",""))+1</f>
        <v>2</v>
      </c>
      <c r="E122" t="str">
        <f>TRIM(RIGHT(SUBSTITUTE(C122," ",REPT(" ",99)),99))</f>
        <v>University</v>
      </c>
      <c r="F122">
        <v>1</v>
      </c>
      <c r="G122" t="s">
        <v>940</v>
      </c>
      <c r="J122" t="str">
        <f>IF(MID(TRIM(G122),LEN(TRIM(G122)),1)="*",TRIM(G122),TRIM(G122)&amp;"*")</f>
        <v>Tsinghua*</v>
      </c>
      <c r="K122" t="str">
        <f t="shared" si="11"/>
        <v>og=(Tsinghua*) OR oo=(Tsinghua*) OR ad=(Tsinghua*)</v>
      </c>
      <c r="L122" t="str">
        <f t="shared" si="12"/>
        <v>og=(Tsinghua*) OR oo=(Tsinghua*) OR ad=(Tsinghua*)</v>
      </c>
    </row>
    <row r="123" spans="1:12">
      <c r="A123">
        <v>33436</v>
      </c>
      <c r="B123" t="s">
        <v>503</v>
      </c>
      <c r="C123" s="5" t="s">
        <v>692</v>
      </c>
      <c r="D123">
        <f>LEN(TRIM(C123))-LEN(SUBSTITUTE(C123," ",""))+1</f>
        <v>7</v>
      </c>
      <c r="E123" t="str">
        <f>TRIM(RIGHT(SUBSTITUTE(C123," ",REPT(" ",99)),99))</f>
        <v>Hall</v>
      </c>
      <c r="F123">
        <v>5</v>
      </c>
      <c r="G123" s="5" t="s">
        <v>692</v>
      </c>
      <c r="H123" t="str">
        <f>TRIM(LEFT(SUBSTITUTE(G123,",",REPT(" ",99)),99))</f>
        <v>City College of New York</v>
      </c>
      <c r="I123" t="str">
        <f>TRIM(RIGHT(SUBSTITUTE(C123,",",REPT(" ",99)),99))</f>
        <v>Marshak Hall</v>
      </c>
      <c r="J123" t="str">
        <f>IF(MID(TRIM(H123),LEN(TRIM(H123)),1)="*",TRIM(H123),TRIM(H123)&amp;"*")</f>
        <v>City College of New York*</v>
      </c>
      <c r="K123" t="str">
        <f t="shared" si="11"/>
        <v>og=(City College of New York*) OR oo=(City College of New York*) OR ad=(City College of New York*)</v>
      </c>
      <c r="L123" t="str">
        <f t="shared" si="12"/>
        <v>(og=(City College of New York*) OR oo=(City College of New York*) OR ad=(City College of New York*)) AND ad=(Marshak Hall)</v>
      </c>
    </row>
    <row r="124" spans="1:12">
      <c r="A124">
        <v>33436</v>
      </c>
      <c r="B124" t="s">
        <v>503</v>
      </c>
      <c r="C124" s="5" t="s">
        <v>692</v>
      </c>
      <c r="D124">
        <v>7</v>
      </c>
      <c r="E124" t="s">
        <v>15</v>
      </c>
      <c r="F124">
        <v>5</v>
      </c>
      <c r="G124" s="8" t="s">
        <v>692</v>
      </c>
      <c r="H124" t="s">
        <v>793</v>
      </c>
      <c r="I124" t="str">
        <f>TRIM(RIGHT(SUBSTITUTE(C124,",",REPT(" ",99)),99))</f>
        <v>Marshak Hall</v>
      </c>
      <c r="J124" t="str">
        <f>IF(MID(TRIM(H124),LEN(TRIM(H124)),1)="*",TRIM(H124),TRIM(H124)&amp;"*")</f>
        <v>City University of New York*</v>
      </c>
      <c r="K124" t="str">
        <f t="shared" si="11"/>
        <v>og=(City University of New York*) OR oo=(City University of New York*) OR ad=(City University of New York*)</v>
      </c>
      <c r="L124" t="str">
        <f t="shared" si="12"/>
        <v>(og=(City University of New York*) OR oo=(City University of New York*) OR ad=(City University of New York*)) AND ad=(Marshak Hall)</v>
      </c>
    </row>
    <row r="125" spans="1:12">
      <c r="A125">
        <v>33436</v>
      </c>
      <c r="B125" t="s">
        <v>503</v>
      </c>
      <c r="C125" s="5" t="s">
        <v>692</v>
      </c>
      <c r="D125">
        <v>7</v>
      </c>
      <c r="E125" t="s">
        <v>15</v>
      </c>
      <c r="F125">
        <v>5</v>
      </c>
      <c r="G125" s="8" t="s">
        <v>692</v>
      </c>
      <c r="H125" t="s">
        <v>1030</v>
      </c>
      <c r="I125" t="str">
        <f>TRIM(RIGHT(SUBSTITUTE(C125,",",REPT(" ",99)),99))</f>
        <v>Marshak Hall</v>
      </c>
      <c r="J125" t="str">
        <f>IF(MID(TRIM(H125),LEN(TRIM(H125)),1)="*",TRIM(H125),TRIM(H125)&amp;"*")</f>
        <v>CUNY*</v>
      </c>
      <c r="K125" t="str">
        <f t="shared" si="11"/>
        <v>og=(CUNY*) OR oo=(CUNY*) OR ad=(CUNY*)</v>
      </c>
      <c r="L125" t="str">
        <f t="shared" si="12"/>
        <v>(og=(CUNY*) OR oo=(CUNY*) OR ad=(CUNY*)) AND ad=(Marshak Hall)</v>
      </c>
    </row>
    <row r="126" spans="1:12">
      <c r="A126">
        <v>33436</v>
      </c>
      <c r="B126" t="s">
        <v>579</v>
      </c>
      <c r="C126" t="s">
        <v>794</v>
      </c>
      <c r="D126">
        <f>LEN(TRIM(C126))-LEN(SUBSTITUTE(C126," ",""))+1</f>
        <v>7</v>
      </c>
      <c r="E126" t="str">
        <f>TRIM(RIGHT(SUBSTITUTE(C126," ",REPT(" ",99)),99))</f>
        <v>College</v>
      </c>
      <c r="F126">
        <v>5</v>
      </c>
      <c r="G126" t="s">
        <v>794</v>
      </c>
      <c r="H126" t="str">
        <f>TRIM(LEFT(SUBSTITUTE(G126,",",REPT(" ",99)),99))</f>
        <v>City University of New York</v>
      </c>
      <c r="I126" t="str">
        <f>TRIM(RIGHT(SUBSTITUTE(C126,",",REPT(" ",99)),99))</f>
        <v>City College</v>
      </c>
      <c r="J126" t="str">
        <f>IF(MID(TRIM(H126),LEN(TRIM(H126)),1)="*",TRIM(H126),TRIM(H126)&amp;"*")</f>
        <v>City University of New York*</v>
      </c>
      <c r="K126" t="str">
        <f t="shared" si="11"/>
        <v>og=(City University of New York*) OR oo=(City University of New York*) OR ad=(City University of New York*)</v>
      </c>
      <c r="L126" t="str">
        <f t="shared" si="12"/>
        <v>(og=(City University of New York*) OR oo=(City University of New York*) OR ad=(City University of New York*)) AND ad=(City College)</v>
      </c>
    </row>
    <row r="127" spans="1:12">
      <c r="A127">
        <v>33436</v>
      </c>
      <c r="B127" t="s">
        <v>579</v>
      </c>
      <c r="C127" t="s">
        <v>794</v>
      </c>
      <c r="D127">
        <v>7</v>
      </c>
      <c r="E127" t="s">
        <v>796</v>
      </c>
      <c r="F127">
        <v>5</v>
      </c>
      <c r="G127" s="8" t="s">
        <v>794</v>
      </c>
      <c r="H127" t="s">
        <v>1030</v>
      </c>
      <c r="I127" t="str">
        <f>TRIM(RIGHT(SUBSTITUTE(C127,",",REPT(" ",99)),99))</f>
        <v>City College</v>
      </c>
      <c r="J127" t="str">
        <f>IF(MID(TRIM(H127),LEN(TRIM(H127)),1)="*",TRIM(H127),TRIM(H127)&amp;"*")</f>
        <v>CUNY*</v>
      </c>
      <c r="K127" t="str">
        <f t="shared" si="11"/>
        <v>og=(CUNY*) OR oo=(CUNY*) OR ad=(CUNY*)</v>
      </c>
      <c r="L127" t="str">
        <f t="shared" si="12"/>
        <v>(og=(CUNY*) OR oo=(CUNY*) OR ad=(CUNY*)) AND ad=(City College)</v>
      </c>
    </row>
    <row r="128" spans="1:12">
      <c r="A128">
        <v>33436</v>
      </c>
      <c r="B128" t="s">
        <v>508</v>
      </c>
      <c r="C128" t="s">
        <v>508</v>
      </c>
      <c r="D128">
        <f>LEN(TRIM(C128))-LEN(SUBSTITUTE(C128," ",""))+1</f>
        <v>2</v>
      </c>
      <c r="E128" t="str">
        <f>TRIM(RIGHT(SUBSTITUTE(C128," ",REPT(" ",99)),99))</f>
        <v>University</v>
      </c>
      <c r="F128">
        <v>1</v>
      </c>
      <c r="G128" t="s">
        <v>935</v>
      </c>
      <c r="J128" t="str">
        <f>IF(MID(TRIM(G128),LEN(TRIM(G128)),1)="*",TRIM(G128),TRIM(G128)&amp;"*")</f>
        <v>Columbia*</v>
      </c>
      <c r="K128" t="str">
        <f t="shared" si="11"/>
        <v>og=(Columbia*) OR oo=(Columbia*) OR ad=(Columbia*)</v>
      </c>
      <c r="L128" t="str">
        <f t="shared" si="12"/>
        <v>og=(Columbia*) OR oo=(Columbia*) OR ad=(Columbia*)</v>
      </c>
    </row>
    <row r="129" spans="1:12">
      <c r="A129">
        <v>33436</v>
      </c>
      <c r="B129" t="s">
        <v>507</v>
      </c>
      <c r="C129" t="s">
        <v>507</v>
      </c>
      <c r="D129">
        <f>LEN(TRIM(C129))-LEN(SUBSTITUTE(C129," ",""))+1</f>
        <v>2</v>
      </c>
      <c r="E129" t="str">
        <f>TRIM(RIGHT(SUBSTITUTE(C129," ",REPT(" ",99)),99))</f>
        <v>University</v>
      </c>
      <c r="F129">
        <v>1</v>
      </c>
      <c r="G129" t="s">
        <v>941</v>
      </c>
      <c r="J129" t="str">
        <f>IF(MID(TRIM(G129),LEN(TRIM(G129)),1)="*",TRIM(G129),TRIM(G129)&amp;"*")</f>
        <v>Rutgers*</v>
      </c>
      <c r="K129" t="str">
        <f t="shared" si="11"/>
        <v>og=(Rutgers*) OR oo=(Rutgers*) OR ad=(Rutgers*)</v>
      </c>
      <c r="L129" t="str">
        <f t="shared" si="12"/>
        <v>og=(Rutgers*) OR oo=(Rutgers*) OR ad=(Rutgers*)</v>
      </c>
    </row>
    <row r="130" spans="1:12">
      <c r="A130">
        <v>33436</v>
      </c>
      <c r="B130" t="s">
        <v>506</v>
      </c>
      <c r="C130" t="s">
        <v>688</v>
      </c>
      <c r="D130">
        <f>LEN(TRIM(C130))-LEN(SUBSTITUTE(C130," ",""))+1</f>
        <v>6</v>
      </c>
      <c r="E130" t="str">
        <f>TRIM(RIGHT(SUBSTITUTE(C130," ",REPT(" ",99)),99))</f>
        <v>Buffalo</v>
      </c>
      <c r="F130">
        <v>5</v>
      </c>
      <c r="G130" t="s">
        <v>688</v>
      </c>
      <c r="H130" t="str">
        <f>TRIM(LEFT(SUBSTITUTE(G130,",",REPT(" ",99)),99))</f>
        <v>State University of New York</v>
      </c>
      <c r="I130" t="str">
        <f>TRIM(RIGHT(SUBSTITUTE(C130,",",REPT(" ",99)),99))</f>
        <v>Buffalo</v>
      </c>
      <c r="J130" t="str">
        <f>IF(MID(TRIM(H130),LEN(TRIM(H130)),1)="*",TRIM(H130),TRIM(H130)&amp;"*")</f>
        <v>State University of New York*</v>
      </c>
      <c r="K130" t="str">
        <f t="shared" ref="K130:K193" si="19">"og=("&amp;J130&amp;") OR oo=("&amp;J130&amp;") OR ad=("&amp;J130&amp;")"</f>
        <v>og=(State University of New York*) OR oo=(State University of New York*) OR ad=(State University of New York*)</v>
      </c>
      <c r="L130" t="str">
        <f t="shared" ref="L130:L193" si="20">IF(I130="",K130,"(" &amp; K130 &amp; ") AND ad=(" &amp; I130 &amp; ")")</f>
        <v>(og=(State University of New York*) OR oo=(State University of New York*) OR ad=(State University of New York*)) AND ad=(Buffalo)</v>
      </c>
    </row>
    <row r="131" spans="1:12">
      <c r="A131">
        <v>33436</v>
      </c>
      <c r="B131" t="s">
        <v>506</v>
      </c>
      <c r="C131" t="s">
        <v>688</v>
      </c>
      <c r="D131">
        <v>6</v>
      </c>
      <c r="E131" t="s">
        <v>799</v>
      </c>
      <c r="F131">
        <v>5</v>
      </c>
      <c r="G131" s="8" t="s">
        <v>688</v>
      </c>
      <c r="H131" t="s">
        <v>1028</v>
      </c>
      <c r="I131" t="str">
        <f>TRIM(RIGHT(SUBSTITUTE(C131,",",REPT(" ",99)),99))</f>
        <v>Buffalo</v>
      </c>
      <c r="J131" t="str">
        <f>IF(MID(TRIM(H131),LEN(TRIM(H131)),1)="*",TRIM(H131),TRIM(H131)&amp;"*")</f>
        <v>SUNY*</v>
      </c>
      <c r="K131" t="str">
        <f t="shared" si="19"/>
        <v>og=(SUNY*) OR oo=(SUNY*) OR ad=(SUNY*)</v>
      </c>
      <c r="L131" t="str">
        <f t="shared" si="20"/>
        <v>(og=(SUNY*) OR oo=(SUNY*) OR ad=(SUNY*)) AND ad=(Buffalo)</v>
      </c>
    </row>
    <row r="132" spans="1:12">
      <c r="A132">
        <v>33436</v>
      </c>
      <c r="B132" t="s">
        <v>282</v>
      </c>
      <c r="C132" t="s">
        <v>701</v>
      </c>
      <c r="D132">
        <f t="shared" ref="D132:D171" si="21">LEN(TRIM(C132))-LEN(SUBSTITUTE(C132," ",""))+1</f>
        <v>4</v>
      </c>
      <c r="E132" t="str">
        <f t="shared" ref="E132:E171" si="22">TRIM(RIGHT(SUBSTITUTE(C132," ",REPT(" ",99)),99))</f>
        <v>Chicago</v>
      </c>
      <c r="F132" t="s">
        <v>1036</v>
      </c>
      <c r="G132" t="s">
        <v>835</v>
      </c>
      <c r="H132" t="str">
        <f>TRIM(LEFT(SUBSTITUTE(G132,",",REPT(" ",99)),99))</f>
        <v>univ* Illinois</v>
      </c>
      <c r="I132" t="str">
        <f>TRIM(RIGHT(SUBSTITUTE(C132,",",REPT(" ",99)),99))</f>
        <v>Chicago</v>
      </c>
      <c r="J132" t="str">
        <f>IF(MID(TRIM(H132),LEN(TRIM(H132)),1)="*",TRIM(H132),TRIM(H132)&amp;"*")</f>
        <v>univ* Illinois*</v>
      </c>
      <c r="K132" t="str">
        <f t="shared" si="19"/>
        <v>og=(univ* Illinois*) OR oo=(univ* Illinois*) OR ad=(univ* Illinois*)</v>
      </c>
      <c r="L132" t="str">
        <f t="shared" si="20"/>
        <v>(og=(univ* Illinois*) OR oo=(univ* Illinois*) OR ad=(univ* Illinois*)) AND ad=(Chicago)</v>
      </c>
    </row>
    <row r="133" spans="1:12">
      <c r="A133">
        <v>33824</v>
      </c>
      <c r="B133" t="s">
        <v>58</v>
      </c>
      <c r="C133" t="s">
        <v>680</v>
      </c>
      <c r="D133">
        <f t="shared" si="21"/>
        <v>4</v>
      </c>
      <c r="E133" t="str">
        <f t="shared" si="22"/>
        <v>Sacramento</v>
      </c>
      <c r="F133" t="s">
        <v>1033</v>
      </c>
      <c r="G133" t="s">
        <v>680</v>
      </c>
      <c r="H133" t="s">
        <v>1032</v>
      </c>
      <c r="I133" t="str">
        <f>TRIM(RIGHT(SUBSTITUTE(C133,",",REPT(" ",99)),99))</f>
        <v>Sacramento</v>
      </c>
      <c r="J133" t="str">
        <f>IF(MID(TRIM(H133),LEN(TRIM(H133)),1)="*",TRIM(H133),TRIM(H133)&amp;"*")</f>
        <v>California State Univ*</v>
      </c>
      <c r="K133" t="str">
        <f t="shared" si="19"/>
        <v>og=(California State Univ*) OR oo=(California State Univ*) OR ad=(California State Univ*)</v>
      </c>
      <c r="L133" t="str">
        <f t="shared" si="20"/>
        <v>(og=(California State Univ*) OR oo=(California State Univ*) OR ad=(California State Univ*)) AND ad=(Sacramento)</v>
      </c>
    </row>
    <row r="134" spans="1:12">
      <c r="A134">
        <v>33824</v>
      </c>
      <c r="B134" t="s">
        <v>614</v>
      </c>
      <c r="C134" s="6" t="s">
        <v>626</v>
      </c>
      <c r="D134">
        <f t="shared" si="21"/>
        <v>5</v>
      </c>
      <c r="E134" t="str">
        <f t="shared" si="22"/>
        <v>Diego</v>
      </c>
      <c r="F134" t="s">
        <v>1036</v>
      </c>
      <c r="G134" s="6" t="s">
        <v>824</v>
      </c>
      <c r="H134" t="str">
        <f>TRIM(LEFT(SUBSTITUTE(G134,",",REPT(" ",99)),99))</f>
        <v>univ* California</v>
      </c>
      <c r="I134" t="str">
        <f>TRIM(RIGHT(SUBSTITUTE(C134,",",REPT(" ",99)),99))</f>
        <v>San Diego</v>
      </c>
      <c r="J134" t="str">
        <f>IF(MID(TRIM(H134),LEN(TRIM(H134)),1)="*",TRIM(H134),TRIM(H134)&amp;"*")</f>
        <v>univ* California*</v>
      </c>
      <c r="K134" t="str">
        <f t="shared" si="19"/>
        <v>og=(univ* California*) OR oo=(univ* California*) OR ad=(univ* California*)</v>
      </c>
      <c r="L134" t="str">
        <f t="shared" si="20"/>
        <v>(og=(univ* California*) OR oo=(univ* California*) OR ad=(univ* California*)) AND ad=(San Diego)</v>
      </c>
    </row>
    <row r="135" spans="1:12">
      <c r="A135">
        <v>34545</v>
      </c>
      <c r="B135" t="s">
        <v>209</v>
      </c>
      <c r="C135" t="s">
        <v>209</v>
      </c>
      <c r="D135">
        <f t="shared" si="21"/>
        <v>2</v>
      </c>
      <c r="E135" t="str">
        <f t="shared" si="22"/>
        <v>University</v>
      </c>
      <c r="F135">
        <v>1</v>
      </c>
      <c r="G135" t="s">
        <v>942</v>
      </c>
      <c r="J135" t="str">
        <f>IF(MID(TRIM(G135),LEN(TRIM(G135)),1)="*",TRIM(G135),TRIM(G135)&amp;"*")</f>
        <v>Rowan*</v>
      </c>
      <c r="K135" t="str">
        <f t="shared" si="19"/>
        <v>og=(Rowan*) OR oo=(Rowan*) OR ad=(Rowan*)</v>
      </c>
      <c r="L135" t="str">
        <f t="shared" si="20"/>
        <v>og=(Rowan*) OR oo=(Rowan*) OR ad=(Rowan*)</v>
      </c>
    </row>
    <row r="136" spans="1:12">
      <c r="A136">
        <v>34545</v>
      </c>
      <c r="B136" t="s">
        <v>615</v>
      </c>
      <c r="C136" t="s">
        <v>615</v>
      </c>
      <c r="D136">
        <f t="shared" si="21"/>
        <v>4</v>
      </c>
      <c r="E136" t="str">
        <f t="shared" si="22"/>
        <v>Louis</v>
      </c>
      <c r="F136">
        <v>5</v>
      </c>
      <c r="G136" t="s">
        <v>615</v>
      </c>
      <c r="H136" t="s">
        <v>1031</v>
      </c>
      <c r="I136" t="str">
        <f>TRIM(RIGHT(SUBSTITUTE(C136,",",REPT(" ",99)),99))</f>
        <v>St. Louis</v>
      </c>
      <c r="J136" t="str">
        <f>IF(MID(TRIM(H136),LEN(TRIM(H136)),1)="*",TRIM(H136),TRIM(H136)&amp;"*")</f>
        <v>Washington Univ*</v>
      </c>
      <c r="K136" t="str">
        <f t="shared" si="19"/>
        <v>og=(Washington Univ*) OR oo=(Washington Univ*) OR ad=(Washington Univ*)</v>
      </c>
      <c r="L136" t="str">
        <f t="shared" si="20"/>
        <v>(og=(Washington Univ*) OR oo=(Washington Univ*) OR ad=(Washington Univ*)) AND ad=(St. Louis)</v>
      </c>
    </row>
    <row r="137" spans="1:12">
      <c r="A137">
        <v>34938</v>
      </c>
      <c r="B137" t="s">
        <v>581</v>
      </c>
      <c r="C137" t="s">
        <v>700</v>
      </c>
      <c r="D137">
        <f t="shared" si="21"/>
        <v>5</v>
      </c>
      <c r="E137" t="str">
        <f t="shared" si="22"/>
        <v>Lake</v>
      </c>
      <c r="F137" t="s">
        <v>1036</v>
      </c>
      <c r="G137" t="s">
        <v>836</v>
      </c>
      <c r="H137" t="str">
        <f>TRIM(LEFT(SUBSTITUTE(G137,",",REPT(" ",99)),99))</f>
        <v>univ* Houston</v>
      </c>
      <c r="I137" t="str">
        <f>TRIM(RIGHT(SUBSTITUTE(C137,",",REPT(" ",99)),99))</f>
        <v>Clear Lake</v>
      </c>
      <c r="J137" t="str">
        <f>IF(MID(TRIM(H137),LEN(TRIM(H137)),1)="*",TRIM(H137),TRIM(H137)&amp;"*")</f>
        <v>univ* Houston*</v>
      </c>
      <c r="K137" t="str">
        <f t="shared" si="19"/>
        <v>og=(univ* Houston*) OR oo=(univ* Houston*) OR ad=(univ* Houston*)</v>
      </c>
      <c r="L137" t="str">
        <f t="shared" si="20"/>
        <v>(og=(univ* Houston*) OR oo=(univ* Houston*) OR ad=(univ* Houston*)) AND ad=(Clear Lake)</v>
      </c>
    </row>
    <row r="138" spans="1:12">
      <c r="A138">
        <v>34938</v>
      </c>
      <c r="B138" t="s">
        <v>292</v>
      </c>
      <c r="C138" t="s">
        <v>292</v>
      </c>
      <c r="D138">
        <f t="shared" si="21"/>
        <v>3</v>
      </c>
      <c r="E138" t="str">
        <f t="shared" si="22"/>
        <v>Memphis</v>
      </c>
      <c r="F138">
        <v>3</v>
      </c>
      <c r="G138" t="s">
        <v>837</v>
      </c>
      <c r="J138" t="str">
        <f>IF(MID(TRIM(G138),LEN(TRIM(G138)),1)="*",TRIM(G138),TRIM(G138)&amp;"*")</f>
        <v>univ* Memphis*</v>
      </c>
      <c r="K138" t="str">
        <f t="shared" si="19"/>
        <v>og=(univ* Memphis*) OR oo=(univ* Memphis*) OR ad=(univ* Memphis*)</v>
      </c>
      <c r="L138" t="str">
        <f t="shared" si="20"/>
        <v>og=(univ* Memphis*) OR oo=(univ* Memphis*) OR ad=(univ* Memphis*)</v>
      </c>
    </row>
    <row r="139" spans="1:12">
      <c r="A139">
        <v>35307</v>
      </c>
      <c r="B139" t="s">
        <v>460</v>
      </c>
      <c r="C139" t="s">
        <v>460</v>
      </c>
      <c r="D139">
        <f t="shared" si="21"/>
        <v>4</v>
      </c>
      <c r="E139" t="str">
        <f t="shared" si="22"/>
        <v>Fresno</v>
      </c>
      <c r="F139" t="s">
        <v>1033</v>
      </c>
      <c r="G139" t="s">
        <v>460</v>
      </c>
      <c r="H139" t="s">
        <v>1032</v>
      </c>
      <c r="I139" t="str">
        <f>TRIM(RIGHT(SUBSTITUTE(C139,",",REPT(" ",99)),99))</f>
        <v>Fresno</v>
      </c>
      <c r="J139" t="str">
        <f>IF(MID(TRIM(H139),LEN(TRIM(H139)),1)="*",TRIM(H139),TRIM(H139)&amp;"*")</f>
        <v>California State Univ*</v>
      </c>
      <c r="K139" t="str">
        <f t="shared" si="19"/>
        <v>og=(California State Univ*) OR oo=(California State Univ*) OR ad=(California State Univ*)</v>
      </c>
      <c r="L139" t="str">
        <f t="shared" si="20"/>
        <v>(og=(California State Univ*) OR oo=(California State Univ*) OR ad=(California State Univ*)) AND ad=(Fresno)</v>
      </c>
    </row>
    <row r="140" spans="1:12">
      <c r="A140">
        <v>35307</v>
      </c>
      <c r="B140" t="s">
        <v>462</v>
      </c>
      <c r="C140" t="s">
        <v>462</v>
      </c>
      <c r="D140">
        <f t="shared" si="21"/>
        <v>4</v>
      </c>
      <c r="E140" t="str">
        <f t="shared" si="22"/>
        <v>Northridge</v>
      </c>
      <c r="F140" t="s">
        <v>1033</v>
      </c>
      <c r="G140" t="s">
        <v>462</v>
      </c>
      <c r="H140" t="s">
        <v>1032</v>
      </c>
      <c r="I140" t="str">
        <f>TRIM(RIGHT(SUBSTITUTE(C140,",",REPT(" ",99)),99))</f>
        <v>Northridge</v>
      </c>
      <c r="J140" t="str">
        <f>IF(MID(TRIM(H140),LEN(TRIM(H140)),1)="*",TRIM(H140),TRIM(H140)&amp;"*")</f>
        <v>California State Univ*</v>
      </c>
      <c r="K140" t="str">
        <f t="shared" si="19"/>
        <v>og=(California State Univ*) OR oo=(California State Univ*) OR ad=(California State Univ*)</v>
      </c>
      <c r="L140" t="str">
        <f t="shared" si="20"/>
        <v>(og=(California State Univ*) OR oo=(California State Univ*) OR ad=(California State Univ*)) AND ad=(Northridge)</v>
      </c>
    </row>
    <row r="141" spans="1:12">
      <c r="A141">
        <v>35307</v>
      </c>
      <c r="B141" t="s">
        <v>199</v>
      </c>
      <c r="C141" t="s">
        <v>199</v>
      </c>
      <c r="D141">
        <f t="shared" si="21"/>
        <v>3</v>
      </c>
      <c r="E141" t="str">
        <f t="shared" si="22"/>
        <v>University</v>
      </c>
      <c r="F141">
        <v>1</v>
      </c>
      <c r="G141" t="s">
        <v>892</v>
      </c>
      <c r="J141" t="str">
        <f>IF(MID(TRIM(G141),LEN(TRIM(G141)),1)="*",TRIM(G141),TRIM(G141)&amp;"*")</f>
        <v>Oregon State*</v>
      </c>
      <c r="K141" t="str">
        <f t="shared" si="19"/>
        <v>og=(Oregon State*) OR oo=(Oregon State*) OR ad=(Oregon State*)</v>
      </c>
      <c r="L141" t="str">
        <f t="shared" si="20"/>
        <v>og=(Oregon State*) OR oo=(Oregon State*) OR ad=(Oregon State*)</v>
      </c>
    </row>
    <row r="142" spans="1:12">
      <c r="A142">
        <v>35307</v>
      </c>
      <c r="B142" t="s">
        <v>215</v>
      </c>
      <c r="C142" t="s">
        <v>215</v>
      </c>
      <c r="D142">
        <f t="shared" si="21"/>
        <v>4</v>
      </c>
      <c r="E142" t="str">
        <f t="shared" si="22"/>
        <v>University</v>
      </c>
      <c r="F142">
        <v>1</v>
      </c>
      <c r="G142" t="s">
        <v>943</v>
      </c>
      <c r="J142" t="str">
        <f>IF(MID(TRIM(G142),LEN(TRIM(G142)),1)="*",TRIM(G142),TRIM(G142)&amp;"*")</f>
        <v>San Diego State*</v>
      </c>
      <c r="K142" t="str">
        <f t="shared" si="19"/>
        <v>og=(San Diego State*) OR oo=(San Diego State*) OR ad=(San Diego State*)</v>
      </c>
      <c r="L142" t="str">
        <f t="shared" si="20"/>
        <v>og=(San Diego State*) OR oo=(San Diego State*) OR ad=(San Diego State*)</v>
      </c>
    </row>
    <row r="143" spans="1:12">
      <c r="A143">
        <v>35307</v>
      </c>
      <c r="B143" t="s">
        <v>458</v>
      </c>
      <c r="C143" t="s">
        <v>458</v>
      </c>
      <c r="D143">
        <f t="shared" si="21"/>
        <v>5</v>
      </c>
      <c r="E143" t="str">
        <f t="shared" si="22"/>
        <v>Barbara</v>
      </c>
      <c r="F143" t="s">
        <v>1036</v>
      </c>
      <c r="G143" t="s">
        <v>838</v>
      </c>
      <c r="H143" t="str">
        <f>TRIM(LEFT(SUBSTITUTE(G143,",",REPT(" ",99)),99))</f>
        <v>univ* California</v>
      </c>
      <c r="I143" t="str">
        <f>TRIM(RIGHT(SUBSTITUTE(C143,",",REPT(" ",99)),99))</f>
        <v>Santa Barbara</v>
      </c>
      <c r="J143" t="str">
        <f>IF(MID(TRIM(H143),LEN(TRIM(H143)),1)="*",TRIM(H143),TRIM(H143)&amp;"*")</f>
        <v>univ* California*</v>
      </c>
      <c r="K143" t="str">
        <f t="shared" si="19"/>
        <v>og=(univ* California*) OR oo=(univ* California*) OR ad=(univ* California*)</v>
      </c>
      <c r="L143" t="str">
        <f t="shared" si="20"/>
        <v>(og=(univ* California*) OR oo=(univ* California*) OR ad=(univ* California*)) AND ad=(Santa Barbara)</v>
      </c>
    </row>
    <row r="144" spans="1:12">
      <c r="A144">
        <v>35307</v>
      </c>
      <c r="B144" t="s">
        <v>389</v>
      </c>
      <c r="C144" t="s">
        <v>389</v>
      </c>
      <c r="D144">
        <f t="shared" si="21"/>
        <v>3</v>
      </c>
      <c r="E144" t="str">
        <f t="shared" si="22"/>
        <v>Washington</v>
      </c>
      <c r="F144">
        <v>3</v>
      </c>
      <c r="G144" t="s">
        <v>839</v>
      </c>
      <c r="J144" t="str">
        <f>IF(MID(TRIM(G144),LEN(TRIM(G144)),1)="*",TRIM(G144),TRIM(G144)&amp;"*")</f>
        <v>univ* Washington*</v>
      </c>
      <c r="K144" t="str">
        <f t="shared" si="19"/>
        <v>og=(univ* Washington*) OR oo=(univ* Washington*) OR ad=(univ* Washington*)</v>
      </c>
      <c r="L144" t="str">
        <f t="shared" si="20"/>
        <v>og=(univ* Washington*) OR oo=(univ* Washington*) OR ad=(univ* Washington*)</v>
      </c>
    </row>
    <row r="145" spans="1:12">
      <c r="A145">
        <v>35307</v>
      </c>
      <c r="B145" t="s">
        <v>461</v>
      </c>
      <c r="C145" t="s">
        <v>461</v>
      </c>
      <c r="D145">
        <f t="shared" si="21"/>
        <v>3</v>
      </c>
      <c r="E145" t="str">
        <f t="shared" si="22"/>
        <v>University</v>
      </c>
      <c r="F145">
        <v>1</v>
      </c>
      <c r="G145" t="s">
        <v>918</v>
      </c>
      <c r="J145" t="str">
        <f>IF(MID(TRIM(G145),LEN(TRIM(G145)),1)="*",TRIM(G145),TRIM(G145)&amp;"*")</f>
        <v>Western Washington*</v>
      </c>
      <c r="K145" t="str">
        <f t="shared" si="19"/>
        <v>og=(Western Washington*) OR oo=(Western Washington*) OR ad=(Western Washington*)</v>
      </c>
      <c r="L145" t="str">
        <f t="shared" si="20"/>
        <v>og=(Western Washington*) OR oo=(Western Washington*) OR ad=(Western Washington*)</v>
      </c>
    </row>
    <row r="146" spans="1:12">
      <c r="A146">
        <v>35436</v>
      </c>
      <c r="B146" t="s">
        <v>144</v>
      </c>
      <c r="C146" t="s">
        <v>144</v>
      </c>
      <c r="D146">
        <f t="shared" si="21"/>
        <v>3</v>
      </c>
      <c r="E146" t="str">
        <f t="shared" si="22"/>
        <v>University</v>
      </c>
      <c r="F146">
        <v>1</v>
      </c>
      <c r="G146" t="s">
        <v>944</v>
      </c>
      <c r="J146" t="str">
        <f>IF(MID(TRIM(G146),LEN(TRIM(G146)),1)="*",TRIM(G146),TRIM(G146)&amp;"*")</f>
        <v>Idaho State*</v>
      </c>
      <c r="K146" t="str">
        <f t="shared" si="19"/>
        <v>og=(Idaho State*) OR oo=(Idaho State*) OR ad=(Idaho State*)</v>
      </c>
      <c r="L146" t="str">
        <f t="shared" si="20"/>
        <v>og=(Idaho State*) OR oo=(Idaho State*) OR ad=(Idaho State*)</v>
      </c>
    </row>
    <row r="147" spans="1:12">
      <c r="A147">
        <v>35436</v>
      </c>
      <c r="B147" t="s">
        <v>384</v>
      </c>
      <c r="C147" t="s">
        <v>384</v>
      </c>
      <c r="D147">
        <f t="shared" si="21"/>
        <v>3</v>
      </c>
      <c r="E147" t="str">
        <f t="shared" si="22"/>
        <v>University</v>
      </c>
      <c r="F147">
        <v>1</v>
      </c>
      <c r="G147" t="s">
        <v>945</v>
      </c>
      <c r="J147" t="str">
        <f>IF(MID(TRIM(G147),LEN(TRIM(G147)),1)="*",TRIM(G147),TRIM(G147)&amp;"*")</f>
        <v>Nebraska Wesleyan*</v>
      </c>
      <c r="K147" t="str">
        <f t="shared" si="19"/>
        <v>og=(Nebraska Wesleyan*) OR oo=(Nebraska Wesleyan*) OR ad=(Nebraska Wesleyan*)</v>
      </c>
      <c r="L147" t="str">
        <f t="shared" si="20"/>
        <v>og=(Nebraska Wesleyan*) OR oo=(Nebraska Wesleyan*) OR ad=(Nebraska Wesleyan*)</v>
      </c>
    </row>
    <row r="148" spans="1:12">
      <c r="A148">
        <v>35436</v>
      </c>
      <c r="B148" t="s">
        <v>385</v>
      </c>
      <c r="C148" t="s">
        <v>385</v>
      </c>
      <c r="D148">
        <f t="shared" si="21"/>
        <v>4</v>
      </c>
      <c r="E148" t="str">
        <f t="shared" si="22"/>
        <v>Laboratory</v>
      </c>
      <c r="F148">
        <v>0</v>
      </c>
      <c r="G148" t="s">
        <v>385</v>
      </c>
      <c r="J148" t="str">
        <f>IF(MID(TRIM(G148),LEN(TRIM(G148)),1)="*",TRIM(G148),TRIM(G148)&amp;"*")</f>
        <v>Rocky Mountain Biological Laboratory*</v>
      </c>
      <c r="K148" t="str">
        <f t="shared" si="19"/>
        <v>og=(Rocky Mountain Biological Laboratory*) OR oo=(Rocky Mountain Biological Laboratory*) OR ad=(Rocky Mountain Biological Laboratory*)</v>
      </c>
      <c r="L148" t="str">
        <f t="shared" si="20"/>
        <v>og=(Rocky Mountain Biological Laboratory*) OR oo=(Rocky Mountain Biological Laboratory*) OR ad=(Rocky Mountain Biological Laboratory*)</v>
      </c>
    </row>
    <row r="149" spans="1:12">
      <c r="A149">
        <v>35436</v>
      </c>
      <c r="B149" t="s">
        <v>382</v>
      </c>
      <c r="C149" t="s">
        <v>697</v>
      </c>
      <c r="D149">
        <f t="shared" si="21"/>
        <v>4</v>
      </c>
      <c r="E149" t="str">
        <f t="shared" si="22"/>
        <v>Riverside</v>
      </c>
      <c r="F149" t="s">
        <v>1036</v>
      </c>
      <c r="G149" t="s">
        <v>841</v>
      </c>
      <c r="H149" t="str">
        <f>TRIM(LEFT(SUBSTITUTE(G149,",",REPT(" ",99)),99))</f>
        <v>univ* California</v>
      </c>
      <c r="I149" t="str">
        <f>TRIM(RIGHT(SUBSTITUTE(C149,",",REPT(" ",99)),99))</f>
        <v>Riverside</v>
      </c>
      <c r="J149" t="str">
        <f>IF(MID(TRIM(H149),LEN(TRIM(H149)),1)="*",TRIM(H149),TRIM(H149)&amp;"*")</f>
        <v>univ* California*</v>
      </c>
      <c r="K149" t="str">
        <f t="shared" si="19"/>
        <v>og=(univ* California*) OR oo=(univ* California*) OR ad=(univ* California*)</v>
      </c>
      <c r="L149" t="str">
        <f t="shared" si="20"/>
        <v>(og=(univ* California*) OR oo=(univ* California*) OR ad=(univ* California*)) AND ad=(Riverside)</v>
      </c>
    </row>
    <row r="150" spans="1:12">
      <c r="A150">
        <v>35436</v>
      </c>
      <c r="B150" t="s">
        <v>293</v>
      </c>
      <c r="C150" t="s">
        <v>293</v>
      </c>
      <c r="D150">
        <f t="shared" si="21"/>
        <v>3</v>
      </c>
      <c r="E150" t="str">
        <f t="shared" si="22"/>
        <v>Miami</v>
      </c>
      <c r="F150">
        <v>3</v>
      </c>
      <c r="G150" t="s">
        <v>842</v>
      </c>
      <c r="J150" t="str">
        <f>IF(MID(TRIM(G150),LEN(TRIM(G150)),1)="*",TRIM(G150),TRIM(G150)&amp;"*")</f>
        <v>univ* Miami*</v>
      </c>
      <c r="K150" t="str">
        <f t="shared" si="19"/>
        <v>og=(univ* Miami*) OR oo=(univ* Miami*) OR ad=(univ* Miami*)</v>
      </c>
      <c r="L150" t="str">
        <f t="shared" si="20"/>
        <v>og=(univ* Miami*) OR oo=(univ* Miami*) OR ad=(univ* Miami*)</v>
      </c>
    </row>
    <row r="151" spans="1:12">
      <c r="A151">
        <v>35436</v>
      </c>
      <c r="B151" t="s">
        <v>299</v>
      </c>
      <c r="C151" t="s">
        <v>299</v>
      </c>
      <c r="D151">
        <f t="shared" si="21"/>
        <v>3</v>
      </c>
      <c r="E151" t="str">
        <f t="shared" si="22"/>
        <v>Oklahoma</v>
      </c>
      <c r="F151">
        <v>3</v>
      </c>
      <c r="G151" t="s">
        <v>843</v>
      </c>
      <c r="J151" t="str">
        <f>IF(MID(TRIM(G151),LEN(TRIM(G151)),1)="*",TRIM(G151),TRIM(G151)&amp;"*")</f>
        <v>univ* Oklahoma*</v>
      </c>
      <c r="K151" t="str">
        <f t="shared" si="19"/>
        <v>og=(univ* Oklahoma*) OR oo=(univ* Oklahoma*) OR ad=(univ* Oklahoma*)</v>
      </c>
      <c r="L151" t="str">
        <f t="shared" si="20"/>
        <v>og=(univ* Oklahoma*) OR oo=(univ* Oklahoma*) OR ad=(univ* Oklahoma*)</v>
      </c>
    </row>
    <row r="152" spans="1:12">
      <c r="A152">
        <v>35436</v>
      </c>
      <c r="B152" t="s">
        <v>616</v>
      </c>
      <c r="C152" s="6" t="s">
        <v>383</v>
      </c>
      <c r="D152">
        <f t="shared" si="21"/>
        <v>4</v>
      </c>
      <c r="E152" t="str">
        <f t="shared" si="22"/>
        <v>Madison</v>
      </c>
      <c r="F152" t="s">
        <v>1036</v>
      </c>
      <c r="G152" s="6" t="s">
        <v>840</v>
      </c>
      <c r="H152" t="str">
        <f>TRIM(LEFT(SUBSTITUTE(G152,",",REPT(" ",99)),99))</f>
        <v>univ* Wisconsin</v>
      </c>
      <c r="I152" t="str">
        <f>TRIM(RIGHT(SUBSTITUTE(C152,",",REPT(" ",99)),99))</f>
        <v>Madison</v>
      </c>
      <c r="J152" t="str">
        <f>IF(MID(TRIM(H152),LEN(TRIM(H152)),1)="*",TRIM(H152),TRIM(H152)&amp;"*")</f>
        <v>univ* Wisconsin*</v>
      </c>
      <c r="K152" t="str">
        <f t="shared" si="19"/>
        <v>og=(univ* Wisconsin*) OR oo=(univ* Wisconsin*) OR ad=(univ* Wisconsin*)</v>
      </c>
      <c r="L152" t="str">
        <f t="shared" si="20"/>
        <v>(og=(univ* Wisconsin*) OR oo=(univ* Wisconsin*) OR ad=(univ* Wisconsin*)) AND ad=(Madison)</v>
      </c>
    </row>
    <row r="153" spans="1:12">
      <c r="A153">
        <v>35436</v>
      </c>
      <c r="B153" t="s">
        <v>383</v>
      </c>
      <c r="C153" t="s">
        <v>383</v>
      </c>
      <c r="D153">
        <f t="shared" si="21"/>
        <v>4</v>
      </c>
      <c r="E153" t="str">
        <f t="shared" si="22"/>
        <v>Madison</v>
      </c>
      <c r="F153" t="s">
        <v>1036</v>
      </c>
      <c r="G153" t="s">
        <v>840</v>
      </c>
      <c r="H153" t="str">
        <f>TRIM(LEFT(SUBSTITUTE(G153,",",REPT(" ",99)),99))</f>
        <v>univ* Wisconsin</v>
      </c>
      <c r="I153" t="str">
        <f>TRIM(RIGHT(SUBSTITUTE(C153,",",REPT(" ",99)),99))</f>
        <v>Madison</v>
      </c>
      <c r="J153" t="str">
        <f>IF(MID(TRIM(H153),LEN(TRIM(H153)),1)="*",TRIM(H153),TRIM(H153)&amp;"*")</f>
        <v>univ* Wisconsin*</v>
      </c>
      <c r="K153" t="str">
        <f t="shared" si="19"/>
        <v>og=(univ* Wisconsin*) OR oo=(univ* Wisconsin*) OR ad=(univ* Wisconsin*)</v>
      </c>
      <c r="L153" t="str">
        <f t="shared" si="20"/>
        <v>(og=(univ* Wisconsin*) OR oo=(univ* Wisconsin*) OR ad=(univ* Wisconsin*)) AND ad=(Madison)</v>
      </c>
    </row>
    <row r="154" spans="1:12">
      <c r="A154">
        <v>35483</v>
      </c>
      <c r="B154" t="s">
        <v>148</v>
      </c>
      <c r="C154" t="s">
        <v>148</v>
      </c>
      <c r="D154">
        <f t="shared" si="21"/>
        <v>4</v>
      </c>
      <c r="E154" t="str">
        <f t="shared" si="22"/>
        <v>Technology</v>
      </c>
      <c r="F154">
        <v>0</v>
      </c>
      <c r="G154" t="s">
        <v>148</v>
      </c>
      <c r="J154" t="str">
        <f t="shared" ref="J154:J160" si="23">IF(MID(TRIM(G154),LEN(TRIM(G154)),1)="*",TRIM(G154),TRIM(G154)&amp;"*")</f>
        <v>Illinois Institute of Technology*</v>
      </c>
      <c r="K154" t="str">
        <f t="shared" si="19"/>
        <v>og=(Illinois Institute of Technology*) OR oo=(Illinois Institute of Technology*) OR ad=(Illinois Institute of Technology*)</v>
      </c>
      <c r="L154" t="str">
        <f t="shared" si="20"/>
        <v>og=(Illinois Institute of Technology*) OR oo=(Illinois Institute of Technology*) OR ad=(Illinois Institute of Technology*)</v>
      </c>
    </row>
    <row r="155" spans="1:12" s="3" customFormat="1">
      <c r="A155">
        <v>35483</v>
      </c>
      <c r="B155" t="s">
        <v>386</v>
      </c>
      <c r="C155" t="s">
        <v>386</v>
      </c>
      <c r="D155">
        <f t="shared" si="21"/>
        <v>2</v>
      </c>
      <c r="E155" t="str">
        <f t="shared" si="22"/>
        <v>University</v>
      </c>
      <c r="F155">
        <v>1</v>
      </c>
      <c r="G155" t="s">
        <v>946</v>
      </c>
      <c r="H155"/>
      <c r="I155"/>
      <c r="J155" t="str">
        <f t="shared" si="23"/>
        <v>Ningbo*</v>
      </c>
      <c r="K155" t="str">
        <f t="shared" si="19"/>
        <v>og=(Ningbo*) OR oo=(Ningbo*) OR ad=(Ningbo*)</v>
      </c>
      <c r="L155" t="str">
        <f t="shared" si="20"/>
        <v>og=(Ningbo*) OR oo=(Ningbo*) OR ad=(Ningbo*)</v>
      </c>
    </row>
    <row r="156" spans="1:12">
      <c r="A156">
        <v>35483</v>
      </c>
      <c r="B156" t="s">
        <v>387</v>
      </c>
      <c r="C156" t="s">
        <v>387</v>
      </c>
      <c r="D156">
        <f t="shared" si="21"/>
        <v>3</v>
      </c>
      <c r="E156" t="str">
        <f t="shared" si="22"/>
        <v>Manitoba</v>
      </c>
      <c r="F156">
        <v>3</v>
      </c>
      <c r="G156" t="s">
        <v>844</v>
      </c>
      <c r="J156" t="str">
        <f t="shared" si="23"/>
        <v>univ* Manitoba*</v>
      </c>
      <c r="K156" t="str">
        <f t="shared" si="19"/>
        <v>og=(univ* Manitoba*) OR oo=(univ* Manitoba*) OR ad=(univ* Manitoba*)</v>
      </c>
      <c r="L156" t="str">
        <f t="shared" si="20"/>
        <v>og=(univ* Manitoba*) OR oo=(univ* Manitoba*) OR ad=(univ* Manitoba*)</v>
      </c>
    </row>
    <row r="157" spans="1:12">
      <c r="A157">
        <v>35505</v>
      </c>
      <c r="B157" t="s">
        <v>76</v>
      </c>
      <c r="C157" t="s">
        <v>76</v>
      </c>
      <c r="D157">
        <f t="shared" si="21"/>
        <v>5</v>
      </c>
      <c r="E157" t="str">
        <f t="shared" si="22"/>
        <v>Mary</v>
      </c>
      <c r="F157">
        <v>4</v>
      </c>
      <c r="G157" t="s">
        <v>1026</v>
      </c>
      <c r="J157" t="str">
        <f t="shared" si="23"/>
        <v>Coll* William and Mary*</v>
      </c>
      <c r="K157" t="str">
        <f t="shared" si="19"/>
        <v>og=(Coll* William and Mary*) OR oo=(Coll* William and Mary*) OR ad=(Coll* William and Mary*)</v>
      </c>
      <c r="L157" t="str">
        <f t="shared" si="20"/>
        <v>og=(Coll* William and Mary*) OR oo=(Coll* William and Mary*) OR ad=(Coll* William and Mary*)</v>
      </c>
    </row>
    <row r="158" spans="1:12">
      <c r="A158">
        <v>35505</v>
      </c>
      <c r="B158" t="s">
        <v>150</v>
      </c>
      <c r="C158" t="s">
        <v>150</v>
      </c>
      <c r="D158">
        <f t="shared" si="21"/>
        <v>3</v>
      </c>
      <c r="E158" t="str">
        <f t="shared" si="22"/>
        <v>University</v>
      </c>
      <c r="F158">
        <v>1</v>
      </c>
      <c r="G158" t="s">
        <v>947</v>
      </c>
      <c r="J158" t="str">
        <f t="shared" si="23"/>
        <v>Illinois State*</v>
      </c>
      <c r="K158" t="str">
        <f t="shared" si="19"/>
        <v>og=(Illinois State*) OR oo=(Illinois State*) OR ad=(Illinois State*)</v>
      </c>
      <c r="L158" t="str">
        <f t="shared" si="20"/>
        <v>og=(Illinois State*) OR oo=(Illinois State*) OR ad=(Illinois State*)</v>
      </c>
    </row>
    <row r="159" spans="1:12">
      <c r="A159">
        <v>35505</v>
      </c>
      <c r="B159" t="s">
        <v>511</v>
      </c>
      <c r="C159" t="s">
        <v>511</v>
      </c>
      <c r="D159">
        <f t="shared" si="21"/>
        <v>4</v>
      </c>
      <c r="E159" t="str">
        <f t="shared" si="22"/>
        <v>Laboratories</v>
      </c>
      <c r="F159">
        <v>0</v>
      </c>
      <c r="G159" t="s">
        <v>511</v>
      </c>
      <c r="J159" t="str">
        <f t="shared" si="23"/>
        <v>Oak Ridge National Laboratories*</v>
      </c>
      <c r="K159" t="str">
        <f t="shared" si="19"/>
        <v>og=(Oak Ridge National Laboratories*) OR oo=(Oak Ridge National Laboratories*) OR ad=(Oak Ridge National Laboratories*)</v>
      </c>
      <c r="L159" t="str">
        <f t="shared" si="20"/>
        <v>og=(Oak Ridge National Laboratories*) OR oo=(Oak Ridge National Laboratories*) OR ad=(Oak Ridge National Laboratories*)</v>
      </c>
    </row>
    <row r="160" spans="1:12">
      <c r="A160">
        <v>35505</v>
      </c>
      <c r="B160" t="s">
        <v>241</v>
      </c>
      <c r="C160" t="s">
        <v>241</v>
      </c>
      <c r="D160">
        <f t="shared" si="21"/>
        <v>2</v>
      </c>
      <c r="E160" t="str">
        <f t="shared" si="22"/>
        <v>University</v>
      </c>
      <c r="F160">
        <v>1</v>
      </c>
      <c r="G160" t="s">
        <v>948</v>
      </c>
      <c r="J160" t="str">
        <f t="shared" si="23"/>
        <v>Temple*</v>
      </c>
      <c r="K160" t="str">
        <f t="shared" si="19"/>
        <v>og=(Temple*) OR oo=(Temple*) OR ad=(Temple*)</v>
      </c>
      <c r="L160" t="str">
        <f t="shared" si="20"/>
        <v>og=(Temple*) OR oo=(Temple*) OR ad=(Temple*)</v>
      </c>
    </row>
    <row r="161" spans="1:12">
      <c r="A161">
        <v>35505</v>
      </c>
      <c r="B161" t="s">
        <v>510</v>
      </c>
      <c r="C161" t="s">
        <v>383</v>
      </c>
      <c r="D161">
        <f t="shared" si="21"/>
        <v>4</v>
      </c>
      <c r="E161" t="str">
        <f t="shared" si="22"/>
        <v>Madison</v>
      </c>
      <c r="F161" t="s">
        <v>1036</v>
      </c>
      <c r="G161" t="s">
        <v>840</v>
      </c>
      <c r="H161" t="str">
        <f>TRIM(LEFT(SUBSTITUTE(G161,",",REPT(" ",99)),99))</f>
        <v>univ* Wisconsin</v>
      </c>
      <c r="I161" t="str">
        <f>TRIM(RIGHT(SUBSTITUTE(C161,",",REPT(" ",99)),99))</f>
        <v>Madison</v>
      </c>
      <c r="J161" t="str">
        <f>IF(MID(TRIM(H161),LEN(TRIM(H161)),1)="*",TRIM(H161),TRIM(H161)&amp;"*")</f>
        <v>univ* Wisconsin*</v>
      </c>
      <c r="K161" t="str">
        <f t="shared" si="19"/>
        <v>og=(univ* Wisconsin*) OR oo=(univ* Wisconsin*) OR ad=(univ* Wisconsin*)</v>
      </c>
      <c r="L161" t="str">
        <f t="shared" si="20"/>
        <v>(og=(univ* Wisconsin*) OR oo=(univ* Wisconsin*) OR ad=(univ* Wisconsin*)) AND ad=(Madison)</v>
      </c>
    </row>
    <row r="162" spans="1:12">
      <c r="A162">
        <v>35505</v>
      </c>
      <c r="B162" t="s">
        <v>677</v>
      </c>
      <c r="C162" t="s">
        <v>677</v>
      </c>
      <c r="D162">
        <f t="shared" si="21"/>
        <v>2</v>
      </c>
      <c r="E162" t="str">
        <f t="shared" si="22"/>
        <v>University</v>
      </c>
      <c r="F162">
        <v>1</v>
      </c>
      <c r="G162" t="s">
        <v>949</v>
      </c>
      <c r="J162" t="str">
        <f>IF(MID(TRIM(G162),LEN(TRIM(G162)),1)="*",TRIM(G162),TRIM(G162)&amp;"*")</f>
        <v>Washington*</v>
      </c>
      <c r="K162" t="str">
        <f t="shared" si="19"/>
        <v>og=(Washington*) OR oo=(Washington*) OR ad=(Washington*)</v>
      </c>
      <c r="L162" t="str">
        <f t="shared" si="20"/>
        <v>og=(Washington*) OR oo=(Washington*) OR ad=(Washington*)</v>
      </c>
    </row>
    <row r="163" spans="1:12">
      <c r="A163">
        <v>35698</v>
      </c>
      <c r="B163" t="s">
        <v>198</v>
      </c>
      <c r="C163" t="s">
        <v>198</v>
      </c>
      <c r="D163">
        <f t="shared" si="21"/>
        <v>3</v>
      </c>
      <c r="E163" t="str">
        <f t="shared" si="22"/>
        <v>University</v>
      </c>
      <c r="F163">
        <v>1</v>
      </c>
      <c r="G163" t="s">
        <v>950</v>
      </c>
      <c r="J163" t="str">
        <f>IF(MID(TRIM(G163),LEN(TRIM(G163)),1)="*",TRIM(G163),TRIM(G163)&amp;"*")</f>
        <v>Oklahoma State*</v>
      </c>
      <c r="K163" t="str">
        <f t="shared" si="19"/>
        <v>og=(Oklahoma State*) OR oo=(Oklahoma State*) OR ad=(Oklahoma State*)</v>
      </c>
      <c r="L163" t="str">
        <f t="shared" si="20"/>
        <v>og=(Oklahoma State*) OR oo=(Oklahoma State*) OR ad=(Oklahoma State*)</v>
      </c>
    </row>
    <row r="164" spans="1:12">
      <c r="A164">
        <v>35698</v>
      </c>
      <c r="B164" t="s">
        <v>406</v>
      </c>
      <c r="C164" t="s">
        <v>406</v>
      </c>
      <c r="D164">
        <f t="shared" si="21"/>
        <v>2</v>
      </c>
      <c r="E164" t="str">
        <f t="shared" si="22"/>
        <v>University</v>
      </c>
      <c r="F164">
        <v>1</v>
      </c>
      <c r="G164" t="s">
        <v>951</v>
      </c>
      <c r="J164" t="str">
        <f>IF(MID(TRIM(G164),LEN(TRIM(G164)),1)="*",TRIM(G164),TRIM(G164)&amp;"*")</f>
        <v>Rockefeller*</v>
      </c>
      <c r="K164" t="str">
        <f t="shared" si="19"/>
        <v>og=(Rockefeller*) OR oo=(Rockefeller*) OR ad=(Rockefeller*)</v>
      </c>
      <c r="L164" t="str">
        <f t="shared" si="20"/>
        <v>og=(Rockefeller*) OR oo=(Rockefeller*) OR ad=(Rockefeller*)</v>
      </c>
    </row>
    <row r="165" spans="1:12">
      <c r="A165">
        <v>35698</v>
      </c>
      <c r="B165" t="s">
        <v>278</v>
      </c>
      <c r="C165" t="s">
        <v>278</v>
      </c>
      <c r="D165">
        <f t="shared" si="21"/>
        <v>3</v>
      </c>
      <c r="E165" t="str">
        <f t="shared" si="22"/>
        <v>Houston</v>
      </c>
      <c r="F165">
        <v>3</v>
      </c>
      <c r="G165" t="s">
        <v>845</v>
      </c>
      <c r="J165" t="str">
        <f>IF(MID(TRIM(G165),LEN(TRIM(G165)),1)="*",TRIM(G165),TRIM(G165)&amp;"*")</f>
        <v>univ* Houston*</v>
      </c>
      <c r="K165" t="str">
        <f t="shared" si="19"/>
        <v>og=(univ* Houston*) OR oo=(univ* Houston*) OR ad=(univ* Houston*)</v>
      </c>
      <c r="L165" t="str">
        <f t="shared" si="20"/>
        <v>og=(univ* Houston*) OR oo=(univ* Houston*) OR ad=(univ* Houston*)</v>
      </c>
    </row>
    <row r="166" spans="1:12">
      <c r="A166">
        <v>35698</v>
      </c>
      <c r="B166" t="s">
        <v>618</v>
      </c>
      <c r="C166" t="s">
        <v>618</v>
      </c>
      <c r="D166">
        <f t="shared" si="21"/>
        <v>4</v>
      </c>
      <c r="E166" t="str">
        <f t="shared" si="22"/>
        <v>Austin</v>
      </c>
      <c r="F166" t="s">
        <v>1036</v>
      </c>
      <c r="G166" t="s">
        <v>846</v>
      </c>
      <c r="H166" t="str">
        <f>TRIM(LEFT(SUBSTITUTE(G166,",",REPT(" ",99)),99))</f>
        <v>univ* Texas</v>
      </c>
      <c r="I166" t="str">
        <f>TRIM(RIGHT(SUBSTITUTE(C166,",",REPT(" ",99)),99))</f>
        <v>Austin</v>
      </c>
      <c r="J166" t="str">
        <f>IF(MID(TRIM(H166),LEN(TRIM(H166)),1)="*",TRIM(H166),TRIM(H166)&amp;"*")</f>
        <v>univ* Texas*</v>
      </c>
      <c r="K166" t="str">
        <f t="shared" si="19"/>
        <v>og=(univ* Texas*) OR oo=(univ* Texas*) OR ad=(univ* Texas*)</v>
      </c>
      <c r="L166" t="str">
        <f t="shared" si="20"/>
        <v>(og=(univ* Texas*) OR oo=(univ* Texas*) OR ad=(univ* Texas*)) AND ad=(Austin)</v>
      </c>
    </row>
    <row r="167" spans="1:12">
      <c r="A167">
        <v>35698</v>
      </c>
      <c r="B167" t="s">
        <v>335</v>
      </c>
      <c r="C167" t="s">
        <v>335</v>
      </c>
      <c r="D167">
        <f t="shared" si="21"/>
        <v>3</v>
      </c>
      <c r="E167" t="str">
        <f t="shared" si="22"/>
        <v>Institute</v>
      </c>
      <c r="F167">
        <v>0</v>
      </c>
      <c r="G167" t="s">
        <v>335</v>
      </c>
      <c r="J167" t="str">
        <f>IF(MID(TRIM(G167),LEN(TRIM(G167)),1)="*",TRIM(G167),TRIM(G167)&amp;"*")</f>
        <v>Worcester Polytechnic Institute*</v>
      </c>
      <c r="K167" t="str">
        <f t="shared" si="19"/>
        <v>og=(Worcester Polytechnic Institute*) OR oo=(Worcester Polytechnic Institute*) OR ad=(Worcester Polytechnic Institute*)</v>
      </c>
      <c r="L167" t="str">
        <f t="shared" si="20"/>
        <v>og=(Worcester Polytechnic Institute*) OR oo=(Worcester Polytechnic Institute*) OR ad=(Worcester Polytechnic Institute*)</v>
      </c>
    </row>
    <row r="168" spans="1:12">
      <c r="A168">
        <v>35783</v>
      </c>
      <c r="B168" t="s">
        <v>619</v>
      </c>
      <c r="C168" t="s">
        <v>465</v>
      </c>
      <c r="D168">
        <f t="shared" si="21"/>
        <v>4</v>
      </c>
      <c r="E168" t="str">
        <f t="shared" si="22"/>
        <v>Sciences</v>
      </c>
      <c r="F168">
        <v>0</v>
      </c>
      <c r="G168" t="s">
        <v>465</v>
      </c>
      <c r="J168" t="str">
        <f>IF(MID(TRIM(G168),LEN(TRIM(G168)),1)="*",TRIM(G168),TRIM(G168)&amp;"*")</f>
        <v>Chinese Academy of Sciences*</v>
      </c>
      <c r="K168" t="str">
        <f t="shared" si="19"/>
        <v>og=(Chinese Academy of Sciences*) OR oo=(Chinese Academy of Sciences*) OR ad=(Chinese Academy of Sciences*)</v>
      </c>
      <c r="L168" t="str">
        <f t="shared" si="20"/>
        <v>og=(Chinese Academy of Sciences*) OR oo=(Chinese Academy of Sciences*) OR ad=(Chinese Academy of Sciences*)</v>
      </c>
    </row>
    <row r="169" spans="1:12">
      <c r="A169">
        <v>35783</v>
      </c>
      <c r="B169" t="s">
        <v>194</v>
      </c>
      <c r="C169" t="s">
        <v>194</v>
      </c>
      <c r="D169">
        <f t="shared" si="21"/>
        <v>2</v>
      </c>
      <c r="E169" t="str">
        <f t="shared" si="22"/>
        <v>University</v>
      </c>
      <c r="F169">
        <v>1</v>
      </c>
      <c r="G169" t="s">
        <v>952</v>
      </c>
      <c r="J169" t="str">
        <f>IF(MID(TRIM(G169),LEN(TRIM(G169)),1)="*",TRIM(G169),TRIM(G169)&amp;"*")</f>
        <v>Oakland*</v>
      </c>
      <c r="K169" t="str">
        <f t="shared" si="19"/>
        <v>og=(Oakland*) OR oo=(Oakland*) OR ad=(Oakland*)</v>
      </c>
      <c r="L169" t="str">
        <f t="shared" si="20"/>
        <v>og=(Oakland*) OR oo=(Oakland*) OR ad=(Oakland*)</v>
      </c>
    </row>
    <row r="170" spans="1:12">
      <c r="A170">
        <v>36058</v>
      </c>
      <c r="B170" t="s">
        <v>154</v>
      </c>
      <c r="C170" t="s">
        <v>154</v>
      </c>
      <c r="D170">
        <f t="shared" si="21"/>
        <v>3</v>
      </c>
      <c r="E170" t="str">
        <f t="shared" si="22"/>
        <v>University</v>
      </c>
      <c r="F170">
        <v>1</v>
      </c>
      <c r="G170" t="s">
        <v>953</v>
      </c>
      <c r="J170" t="str">
        <f>IF(MID(TRIM(G170),LEN(TRIM(G170)),1)="*",TRIM(G170),TRIM(G170)&amp;"*")</f>
        <v>Iowa State*</v>
      </c>
      <c r="K170" t="str">
        <f t="shared" si="19"/>
        <v>og=(Iowa State*) OR oo=(Iowa State*) OR ad=(Iowa State*)</v>
      </c>
      <c r="L170" t="str">
        <f t="shared" si="20"/>
        <v>og=(Iowa State*) OR oo=(Iowa State*) OR ad=(Iowa State*)</v>
      </c>
    </row>
    <row r="171" spans="1:12">
      <c r="A171">
        <v>36058</v>
      </c>
      <c r="B171" t="s">
        <v>512</v>
      </c>
      <c r="C171" t="s">
        <v>690</v>
      </c>
      <c r="D171">
        <f t="shared" si="21"/>
        <v>11</v>
      </c>
      <c r="E171" t="str">
        <f t="shared" si="22"/>
        <v>Forestry</v>
      </c>
      <c r="F171">
        <v>5</v>
      </c>
      <c r="G171" t="s">
        <v>690</v>
      </c>
      <c r="H171" t="str">
        <f>TRIM(LEFT(SUBSTITUTE(G171,",",REPT(" ",99)),99))</f>
        <v>State University of New York</v>
      </c>
      <c r="I171" t="str">
        <f>TRIM(RIGHT(SUBSTITUTE(C171,",",REPT(" ",99)),99))</f>
        <v>College of Environmental Science and Forestry</v>
      </c>
      <c r="J171" t="str">
        <f>IF(MID(TRIM(H171),LEN(TRIM(H171)),1)="*",TRIM(H171),TRIM(H171)&amp;"*")</f>
        <v>State University of New York*</v>
      </c>
      <c r="K171" t="str">
        <f t="shared" si="19"/>
        <v>og=(State University of New York*) OR oo=(State University of New York*) OR ad=(State University of New York*)</v>
      </c>
      <c r="L171" t="str">
        <f t="shared" si="20"/>
        <v>(og=(State University of New York*) OR oo=(State University of New York*) OR ad=(State University of New York*)) AND ad=(College of Environmental Science and Forestry)</v>
      </c>
    </row>
    <row r="172" spans="1:12">
      <c r="A172">
        <v>36058</v>
      </c>
      <c r="B172" t="s">
        <v>512</v>
      </c>
      <c r="C172" t="s">
        <v>690</v>
      </c>
      <c r="D172">
        <v>11</v>
      </c>
      <c r="E172" t="s">
        <v>800</v>
      </c>
      <c r="F172">
        <v>5</v>
      </c>
      <c r="G172" s="8" t="s">
        <v>690</v>
      </c>
      <c r="H172" t="s">
        <v>1028</v>
      </c>
      <c r="I172" t="str">
        <f>TRIM(RIGHT(SUBSTITUTE(C172,",",REPT(" ",99)),99))</f>
        <v>College of Environmental Science and Forestry</v>
      </c>
      <c r="J172" t="str">
        <f>IF(MID(TRIM(H172),LEN(TRIM(H172)),1)="*",TRIM(H172),TRIM(H172)&amp;"*")</f>
        <v>SUNY*</v>
      </c>
      <c r="K172" t="str">
        <f t="shared" si="19"/>
        <v>og=(SUNY*) OR oo=(SUNY*) OR ad=(SUNY*)</v>
      </c>
      <c r="L172" t="str">
        <f t="shared" si="20"/>
        <v>(og=(SUNY*) OR oo=(SUNY*) OR ad=(SUNY*)) AND ad=(College of Environmental Science and Forestry)</v>
      </c>
    </row>
    <row r="173" spans="1:12">
      <c r="A173">
        <v>36058</v>
      </c>
      <c r="B173" t="s">
        <v>513</v>
      </c>
      <c r="C173" t="s">
        <v>513</v>
      </c>
      <c r="D173">
        <f t="shared" ref="D173:D204" si="24">LEN(TRIM(C173))-LEN(SUBSTITUTE(C173," ",""))+1</f>
        <v>2</v>
      </c>
      <c r="E173" t="str">
        <f t="shared" ref="E173:E204" si="25">TRIM(RIGHT(SUBSTITUTE(C173," ",REPT(" ",99)),99))</f>
        <v>University</v>
      </c>
      <c r="F173">
        <v>1</v>
      </c>
      <c r="G173" t="s">
        <v>954</v>
      </c>
      <c r="J173" t="str">
        <f>IF(MID(TRIM(G173),LEN(TRIM(G173)),1)="*",TRIM(G173),TRIM(G173)&amp;"*")</f>
        <v>Tokyo*</v>
      </c>
      <c r="K173" t="str">
        <f t="shared" si="19"/>
        <v>og=(Tokyo*) OR oo=(Tokyo*) OR ad=(Tokyo*)</v>
      </c>
      <c r="L173" t="str">
        <f t="shared" si="20"/>
        <v>og=(Tokyo*) OR oo=(Tokyo*) OR ad=(Tokyo*)</v>
      </c>
    </row>
    <row r="174" spans="1:12">
      <c r="A174">
        <v>36101</v>
      </c>
      <c r="B174" t="s">
        <v>514</v>
      </c>
      <c r="C174" t="s">
        <v>514</v>
      </c>
      <c r="D174">
        <f t="shared" si="24"/>
        <v>4</v>
      </c>
      <c r="E174" t="str">
        <f t="shared" si="25"/>
        <v>Laboratory</v>
      </c>
      <c r="F174">
        <v>0</v>
      </c>
      <c r="G174" t="s">
        <v>514</v>
      </c>
      <c r="J174" t="str">
        <f>IF(MID(TRIM(G174),LEN(TRIM(G174)),1)="*",TRIM(G174),TRIM(G174)&amp;"*")</f>
        <v>Cold Spring Harbor Laboratory*</v>
      </c>
      <c r="K174" t="str">
        <f t="shared" si="19"/>
        <v>og=(Cold Spring Harbor Laboratory*) OR oo=(Cold Spring Harbor Laboratory*) OR ad=(Cold Spring Harbor Laboratory*)</v>
      </c>
      <c r="L174" t="str">
        <f t="shared" si="20"/>
        <v>og=(Cold Spring Harbor Laboratory*) OR oo=(Cold Spring Harbor Laboratory*) OR ad=(Cold Spring Harbor Laboratory*)</v>
      </c>
    </row>
    <row r="175" spans="1:12">
      <c r="A175">
        <v>36101</v>
      </c>
      <c r="B175" t="s">
        <v>108</v>
      </c>
      <c r="C175" t="s">
        <v>108</v>
      </c>
      <c r="D175">
        <f t="shared" si="24"/>
        <v>3</v>
      </c>
      <c r="E175" t="str">
        <f t="shared" si="25"/>
        <v>University</v>
      </c>
      <c r="F175">
        <v>1</v>
      </c>
      <c r="G175" t="s">
        <v>895</v>
      </c>
      <c r="J175" t="str">
        <f>IF(MID(TRIM(G175),LEN(TRIM(G175)),1)="*",TRIM(G175),TRIM(G175)&amp;"*")</f>
        <v>East Carolina*</v>
      </c>
      <c r="K175" t="str">
        <f t="shared" si="19"/>
        <v>og=(East Carolina*) OR oo=(East Carolina*) OR ad=(East Carolina*)</v>
      </c>
      <c r="L175" t="str">
        <f t="shared" si="20"/>
        <v>og=(East Carolina*) OR oo=(East Carolina*) OR ad=(East Carolina*)</v>
      </c>
    </row>
    <row r="176" spans="1:12">
      <c r="A176">
        <v>36101</v>
      </c>
      <c r="B176" t="s">
        <v>516</v>
      </c>
      <c r="C176" t="s">
        <v>516</v>
      </c>
      <c r="D176">
        <f t="shared" si="24"/>
        <v>2</v>
      </c>
      <c r="E176" t="str">
        <f t="shared" si="25"/>
        <v>Co</v>
      </c>
      <c r="F176">
        <v>0</v>
      </c>
      <c r="G176" t="s">
        <v>516</v>
      </c>
      <c r="J176" t="str">
        <f>IF(MID(TRIM(G176),LEN(TRIM(G176)),1)="*",TRIM(G176),TRIM(G176)&amp;"*")</f>
        <v>Maruha Co*</v>
      </c>
      <c r="K176" t="str">
        <f t="shared" si="19"/>
        <v>og=(Maruha Co*) OR oo=(Maruha Co*) OR ad=(Maruha Co*)</v>
      </c>
      <c r="L176" t="str">
        <f t="shared" si="20"/>
        <v>og=(Maruha Co*) OR oo=(Maruha Co*) OR ad=(Maruha Co*)</v>
      </c>
    </row>
    <row r="177" spans="1:12">
      <c r="A177">
        <v>36101</v>
      </c>
      <c r="B177" t="s">
        <v>513</v>
      </c>
      <c r="C177" t="s">
        <v>513</v>
      </c>
      <c r="D177">
        <f t="shared" si="24"/>
        <v>2</v>
      </c>
      <c r="E177" t="str">
        <f t="shared" si="25"/>
        <v>University</v>
      </c>
      <c r="F177">
        <v>1</v>
      </c>
      <c r="G177" t="s">
        <v>954</v>
      </c>
      <c r="J177" t="str">
        <f>IF(MID(TRIM(G177),LEN(TRIM(G177)),1)="*",TRIM(G177),TRIM(G177)&amp;"*")</f>
        <v>Tokyo*</v>
      </c>
      <c r="K177" t="str">
        <f t="shared" si="19"/>
        <v>og=(Tokyo*) OR oo=(Tokyo*) OR ad=(Tokyo*)</v>
      </c>
      <c r="L177" t="str">
        <f t="shared" si="20"/>
        <v>og=(Tokyo*) OR oo=(Tokyo*) OR ad=(Tokyo*)</v>
      </c>
    </row>
    <row r="178" spans="1:12">
      <c r="A178">
        <v>36101</v>
      </c>
      <c r="B178" t="s">
        <v>515</v>
      </c>
      <c r="C178" t="s">
        <v>618</v>
      </c>
      <c r="D178">
        <f t="shared" si="24"/>
        <v>4</v>
      </c>
      <c r="E178" t="str">
        <f t="shared" si="25"/>
        <v>Austin</v>
      </c>
      <c r="F178" t="s">
        <v>1036</v>
      </c>
      <c r="G178" t="s">
        <v>846</v>
      </c>
      <c r="H178" t="str">
        <f>TRIM(LEFT(SUBSTITUTE(G178,",",REPT(" ",99)),99))</f>
        <v>univ* Texas</v>
      </c>
      <c r="I178" t="str">
        <f>TRIM(RIGHT(SUBSTITUTE(C178,",",REPT(" ",99)),99))</f>
        <v>Austin</v>
      </c>
      <c r="J178" t="str">
        <f>IF(MID(TRIM(H178),LEN(TRIM(H178)),1)="*",TRIM(H178),TRIM(H178)&amp;"*")</f>
        <v>univ* Texas*</v>
      </c>
      <c r="K178" t="str">
        <f t="shared" si="19"/>
        <v>og=(univ* Texas*) OR oo=(univ* Texas*) OR ad=(univ* Texas*)</v>
      </c>
      <c r="L178" t="str">
        <f t="shared" si="20"/>
        <v>(og=(univ* Texas*) OR oo=(univ* Texas*) OR ad=(univ* Texas*)) AND ad=(Austin)</v>
      </c>
    </row>
    <row r="179" spans="1:12">
      <c r="A179">
        <v>36101</v>
      </c>
      <c r="B179" t="s">
        <v>517</v>
      </c>
      <c r="C179" t="s">
        <v>517</v>
      </c>
      <c r="D179">
        <f t="shared" si="24"/>
        <v>2</v>
      </c>
      <c r="E179" t="str">
        <f t="shared" si="25"/>
        <v>University</v>
      </c>
      <c r="F179">
        <v>1</v>
      </c>
      <c r="G179" t="s">
        <v>955</v>
      </c>
      <c r="J179" t="str">
        <f t="shared" ref="J179:J187" si="26">IF(MID(TRIM(G179),LEN(TRIM(G179)),1)="*",TRIM(G179),TRIM(G179)&amp;"*")</f>
        <v>Xiamen*</v>
      </c>
      <c r="K179" t="str">
        <f t="shared" si="19"/>
        <v>og=(Xiamen*) OR oo=(Xiamen*) OR ad=(Xiamen*)</v>
      </c>
      <c r="L179" t="str">
        <f t="shared" si="20"/>
        <v>og=(Xiamen*) OR oo=(Xiamen*) OR ad=(Xiamen*)</v>
      </c>
    </row>
    <row r="180" spans="1:12">
      <c r="A180">
        <v>36130</v>
      </c>
      <c r="B180" t="s">
        <v>77</v>
      </c>
      <c r="C180" t="s">
        <v>77</v>
      </c>
      <c r="D180">
        <f t="shared" si="24"/>
        <v>2</v>
      </c>
      <c r="E180" t="str">
        <f t="shared" si="25"/>
        <v>College</v>
      </c>
      <c r="F180">
        <v>2</v>
      </c>
      <c r="G180" t="s">
        <v>956</v>
      </c>
      <c r="J180" t="str">
        <f t="shared" si="26"/>
        <v>Colorado*</v>
      </c>
      <c r="K180" t="str">
        <f t="shared" si="19"/>
        <v>og=(Colorado*) OR oo=(Colorado*) OR ad=(Colorado*)</v>
      </c>
      <c r="L180" t="str">
        <f t="shared" si="20"/>
        <v>og=(Colorado*) OR oo=(Colorado*) OR ad=(Colorado*)</v>
      </c>
    </row>
    <row r="181" spans="1:12">
      <c r="A181">
        <v>36130</v>
      </c>
      <c r="B181" t="s">
        <v>299</v>
      </c>
      <c r="C181" t="s">
        <v>299</v>
      </c>
      <c r="D181">
        <f t="shared" si="24"/>
        <v>3</v>
      </c>
      <c r="E181" t="str">
        <f t="shared" si="25"/>
        <v>Oklahoma</v>
      </c>
      <c r="F181">
        <v>3</v>
      </c>
      <c r="G181" t="s">
        <v>843</v>
      </c>
      <c r="J181" t="str">
        <f t="shared" si="26"/>
        <v>univ* Oklahoma*</v>
      </c>
      <c r="K181" t="str">
        <f t="shared" si="19"/>
        <v>og=(univ* Oklahoma*) OR oo=(univ* Oklahoma*) OR ad=(univ* Oklahoma*)</v>
      </c>
      <c r="L181" t="str">
        <f t="shared" si="20"/>
        <v>og=(univ* Oklahoma*) OR oo=(univ* Oklahoma*) OR ad=(univ* Oklahoma*)</v>
      </c>
    </row>
    <row r="182" spans="1:12">
      <c r="A182">
        <v>36130</v>
      </c>
      <c r="B182" t="s">
        <v>326</v>
      </c>
      <c r="C182" t="s">
        <v>326</v>
      </c>
      <c r="D182">
        <f t="shared" si="24"/>
        <v>3</v>
      </c>
      <c r="E182" t="str">
        <f t="shared" si="25"/>
        <v>University</v>
      </c>
      <c r="F182">
        <v>1</v>
      </c>
      <c r="G182" t="s">
        <v>957</v>
      </c>
      <c r="J182" t="str">
        <f t="shared" si="26"/>
        <v>Wake Forest*</v>
      </c>
      <c r="K182" t="str">
        <f t="shared" si="19"/>
        <v>og=(Wake Forest*) OR oo=(Wake Forest*) OR ad=(Wake Forest*)</v>
      </c>
      <c r="L182" t="str">
        <f t="shared" si="20"/>
        <v>og=(Wake Forest*) OR oo=(Wake Forest*) OR ad=(Wake Forest*)</v>
      </c>
    </row>
    <row r="183" spans="1:12">
      <c r="A183">
        <v>36238</v>
      </c>
      <c r="B183" t="s">
        <v>28</v>
      </c>
      <c r="C183" t="s">
        <v>28</v>
      </c>
      <c r="D183">
        <f t="shared" si="24"/>
        <v>4</v>
      </c>
      <c r="E183" t="str">
        <f t="shared" si="25"/>
        <v>University</v>
      </c>
      <c r="F183">
        <v>1</v>
      </c>
      <c r="G183" t="s">
        <v>958</v>
      </c>
      <c r="J183" t="str">
        <f t="shared" si="26"/>
        <v>Bowling Green State*</v>
      </c>
      <c r="K183" t="str">
        <f t="shared" si="19"/>
        <v>og=(Bowling Green State*) OR oo=(Bowling Green State*) OR ad=(Bowling Green State*)</v>
      </c>
      <c r="L183" t="str">
        <f t="shared" si="20"/>
        <v>og=(Bowling Green State*) OR oo=(Bowling Green State*) OR ad=(Bowling Green State*)</v>
      </c>
    </row>
    <row r="184" spans="1:12">
      <c r="A184">
        <v>36238</v>
      </c>
      <c r="B184" t="s">
        <v>463</v>
      </c>
      <c r="C184" t="s">
        <v>463</v>
      </c>
      <c r="D184">
        <f t="shared" si="24"/>
        <v>2</v>
      </c>
      <c r="E184" t="str">
        <f t="shared" si="25"/>
        <v>University</v>
      </c>
      <c r="F184">
        <v>1</v>
      </c>
      <c r="G184" t="s">
        <v>959</v>
      </c>
      <c r="J184" t="str">
        <f t="shared" si="26"/>
        <v>Fudan*</v>
      </c>
      <c r="K184" t="str">
        <f t="shared" si="19"/>
        <v>og=(Fudan*) OR oo=(Fudan*) OR ad=(Fudan*)</v>
      </c>
      <c r="L184" t="str">
        <f t="shared" si="20"/>
        <v>og=(Fudan*) OR oo=(Fudan*) OR ad=(Fudan*)</v>
      </c>
    </row>
    <row r="185" spans="1:12">
      <c r="A185">
        <v>36238</v>
      </c>
      <c r="B185" t="s">
        <v>241</v>
      </c>
      <c r="C185" t="s">
        <v>241</v>
      </c>
      <c r="D185">
        <f t="shared" si="24"/>
        <v>2</v>
      </c>
      <c r="E185" t="str">
        <f t="shared" si="25"/>
        <v>University</v>
      </c>
      <c r="F185">
        <v>1</v>
      </c>
      <c r="G185" t="s">
        <v>948</v>
      </c>
      <c r="J185" t="str">
        <f t="shared" si="26"/>
        <v>Temple*</v>
      </c>
      <c r="K185" t="str">
        <f t="shared" si="19"/>
        <v>og=(Temple*) OR oo=(Temple*) OR ad=(Temple*)</v>
      </c>
      <c r="L185" t="str">
        <f t="shared" si="20"/>
        <v>og=(Temple*) OR oo=(Temple*) OR ad=(Temple*)</v>
      </c>
    </row>
    <row r="186" spans="1:12">
      <c r="A186">
        <v>36302</v>
      </c>
      <c r="B186" t="s">
        <v>409</v>
      </c>
      <c r="C186" t="s">
        <v>792</v>
      </c>
      <c r="D186">
        <f t="shared" si="24"/>
        <v>2</v>
      </c>
      <c r="E186" t="str">
        <f t="shared" si="25"/>
        <v>College</v>
      </c>
      <c r="F186">
        <v>2</v>
      </c>
      <c r="G186" t="s">
        <v>960</v>
      </c>
      <c r="J186" t="str">
        <f t="shared" si="26"/>
        <v>Austin*</v>
      </c>
      <c r="K186" t="str">
        <f t="shared" si="19"/>
        <v>og=(Austin*) OR oo=(Austin*) OR ad=(Austin*)</v>
      </c>
      <c r="L186" t="str">
        <f t="shared" si="20"/>
        <v>og=(Austin*) OR oo=(Austin*) OR ad=(Austin*)</v>
      </c>
    </row>
    <row r="187" spans="1:12">
      <c r="A187">
        <v>36302</v>
      </c>
      <c r="B187" t="s">
        <v>408</v>
      </c>
      <c r="C187" t="s">
        <v>200</v>
      </c>
      <c r="D187">
        <f t="shared" si="24"/>
        <v>2</v>
      </c>
      <c r="E187" t="str">
        <f t="shared" si="25"/>
        <v>University</v>
      </c>
      <c r="F187">
        <v>1</v>
      </c>
      <c r="G187" t="s">
        <v>961</v>
      </c>
      <c r="J187" t="str">
        <f t="shared" si="26"/>
        <v>Princeton*</v>
      </c>
      <c r="K187" t="str">
        <f t="shared" si="19"/>
        <v>og=(Princeton*) OR oo=(Princeton*) OR ad=(Princeton*)</v>
      </c>
      <c r="L187" t="str">
        <f t="shared" si="20"/>
        <v>og=(Princeton*) OR oo=(Princeton*) OR ad=(Princeton*)</v>
      </c>
    </row>
    <row r="188" spans="1:12">
      <c r="A188">
        <v>36302</v>
      </c>
      <c r="B188" t="s">
        <v>410</v>
      </c>
      <c r="C188" t="s">
        <v>707</v>
      </c>
      <c r="D188">
        <f t="shared" si="24"/>
        <v>4</v>
      </c>
      <c r="E188" t="str">
        <f t="shared" si="25"/>
        <v>Lincoln</v>
      </c>
      <c r="F188" t="s">
        <v>1036</v>
      </c>
      <c r="G188" t="s">
        <v>847</v>
      </c>
      <c r="H188" t="str">
        <f>TRIM(LEFT(SUBSTITUTE(G188,",",REPT(" ",99)),99))</f>
        <v>univ* Nebraska</v>
      </c>
      <c r="I188" t="str">
        <f>TRIM(RIGHT(SUBSTITUTE(C188,",",REPT(" ",99)),99))</f>
        <v>Lincoln</v>
      </c>
      <c r="J188" t="str">
        <f>IF(MID(TRIM(H188),LEN(TRIM(H188)),1)="*",TRIM(H188),TRIM(H188)&amp;"*")</f>
        <v>univ* Nebraska*</v>
      </c>
      <c r="K188" t="str">
        <f t="shared" si="19"/>
        <v>og=(univ* Nebraska*) OR oo=(univ* Nebraska*) OR ad=(univ* Nebraska*)</v>
      </c>
      <c r="L188" t="str">
        <f t="shared" si="20"/>
        <v>(og=(univ* Nebraska*) OR oo=(univ* Nebraska*) OR ad=(univ* Nebraska*)) AND ad=(Lincoln)</v>
      </c>
    </row>
    <row r="189" spans="1:12">
      <c r="A189">
        <v>36302</v>
      </c>
      <c r="B189" t="s">
        <v>315</v>
      </c>
      <c r="C189" t="s">
        <v>315</v>
      </c>
      <c r="D189">
        <f t="shared" si="24"/>
        <v>3</v>
      </c>
      <c r="E189" t="str">
        <f t="shared" si="25"/>
        <v>Tulsa</v>
      </c>
      <c r="F189">
        <v>3</v>
      </c>
      <c r="G189" t="s">
        <v>848</v>
      </c>
      <c r="J189" t="str">
        <f t="shared" ref="J189:J201" si="27">IF(MID(TRIM(G189),LEN(TRIM(G189)),1)="*",TRIM(G189),TRIM(G189)&amp;"*")</f>
        <v>univ* Tulsa*</v>
      </c>
      <c r="K189" t="str">
        <f t="shared" si="19"/>
        <v>og=(univ* Tulsa*) OR oo=(univ* Tulsa*) OR ad=(univ* Tulsa*)</v>
      </c>
      <c r="L189" t="str">
        <f t="shared" si="20"/>
        <v>og=(univ* Tulsa*) OR oo=(univ* Tulsa*) OR ad=(univ* Tulsa*)</v>
      </c>
    </row>
    <row r="190" spans="1:12">
      <c r="A190">
        <v>36302</v>
      </c>
      <c r="B190" t="s">
        <v>389</v>
      </c>
      <c r="C190" t="s">
        <v>389</v>
      </c>
      <c r="D190">
        <f t="shared" si="24"/>
        <v>3</v>
      </c>
      <c r="E190" t="str">
        <f t="shared" si="25"/>
        <v>Washington</v>
      </c>
      <c r="F190">
        <v>3</v>
      </c>
      <c r="G190" t="s">
        <v>839</v>
      </c>
      <c r="J190" t="str">
        <f t="shared" si="27"/>
        <v>univ* Washington*</v>
      </c>
      <c r="K190" t="str">
        <f t="shared" si="19"/>
        <v>og=(univ* Washington*) OR oo=(univ* Washington*) OR ad=(univ* Washington*)</v>
      </c>
      <c r="L190" t="str">
        <f t="shared" si="20"/>
        <v>og=(univ* Washington*) OR oo=(univ* Washington*) OR ad=(univ* Washington*)</v>
      </c>
    </row>
    <row r="191" spans="1:12">
      <c r="A191">
        <v>36302</v>
      </c>
      <c r="B191" t="s">
        <v>340</v>
      </c>
      <c r="C191" t="s">
        <v>340</v>
      </c>
      <c r="D191">
        <f t="shared" si="24"/>
        <v>2</v>
      </c>
      <c r="E191" t="str">
        <f t="shared" si="25"/>
        <v>University</v>
      </c>
      <c r="F191">
        <v>1</v>
      </c>
      <c r="G191" t="s">
        <v>932</v>
      </c>
      <c r="J191" t="str">
        <f t="shared" si="27"/>
        <v>Yale*</v>
      </c>
      <c r="K191" t="str">
        <f t="shared" si="19"/>
        <v>og=(Yale*) OR oo=(Yale*) OR ad=(Yale*)</v>
      </c>
      <c r="L191" t="str">
        <f t="shared" si="20"/>
        <v>og=(Yale*) OR oo=(Yale*) OR ad=(Yale*)</v>
      </c>
    </row>
    <row r="192" spans="1:12">
      <c r="A192">
        <v>36793</v>
      </c>
      <c r="B192" t="s">
        <v>623</v>
      </c>
      <c r="C192" t="s">
        <v>623</v>
      </c>
      <c r="D192">
        <f t="shared" si="24"/>
        <v>4</v>
      </c>
      <c r="E192" t="str">
        <f t="shared" si="25"/>
        <v>Sciences</v>
      </c>
      <c r="F192">
        <v>0</v>
      </c>
      <c r="G192" t="s">
        <v>623</v>
      </c>
      <c r="J192" t="str">
        <f t="shared" si="27"/>
        <v>Czechoslovak Academy of Sciences*</v>
      </c>
      <c r="K192" t="str">
        <f t="shared" si="19"/>
        <v>og=(Czechoslovak Academy of Sciences*) OR oo=(Czechoslovak Academy of Sciences*) OR ad=(Czechoslovak Academy of Sciences*)</v>
      </c>
      <c r="L192" t="str">
        <f t="shared" si="20"/>
        <v>og=(Czechoslovak Academy of Sciences*) OR oo=(Czechoslovak Academy of Sciences*) OR ad=(Czechoslovak Academy of Sciences*)</v>
      </c>
    </row>
    <row r="193" spans="1:12">
      <c r="A193">
        <v>36793</v>
      </c>
      <c r="B193" t="s">
        <v>123</v>
      </c>
      <c r="C193" t="s">
        <v>123</v>
      </c>
      <c r="D193">
        <f t="shared" si="24"/>
        <v>3</v>
      </c>
      <c r="E193" t="str">
        <f t="shared" si="25"/>
        <v>University</v>
      </c>
      <c r="F193">
        <v>1</v>
      </c>
      <c r="G193" t="s">
        <v>962</v>
      </c>
      <c r="J193" t="str">
        <f t="shared" si="27"/>
        <v>Florida Atlantic*</v>
      </c>
      <c r="K193" t="str">
        <f t="shared" si="19"/>
        <v>og=(Florida Atlantic*) OR oo=(Florida Atlantic*) OR ad=(Florida Atlantic*)</v>
      </c>
      <c r="L193" t="str">
        <f t="shared" si="20"/>
        <v>og=(Florida Atlantic*) OR oo=(Florida Atlantic*) OR ad=(Florida Atlantic*)</v>
      </c>
    </row>
    <row r="194" spans="1:12">
      <c r="A194">
        <v>37054</v>
      </c>
      <c r="B194" t="s">
        <v>465</v>
      </c>
      <c r="C194" t="s">
        <v>465</v>
      </c>
      <c r="D194">
        <f t="shared" si="24"/>
        <v>4</v>
      </c>
      <c r="E194" t="str">
        <f t="shared" si="25"/>
        <v>Sciences</v>
      </c>
      <c r="F194">
        <v>0</v>
      </c>
      <c r="G194" t="s">
        <v>465</v>
      </c>
      <c r="J194" t="str">
        <f t="shared" si="27"/>
        <v>Chinese Academy of Sciences*</v>
      </c>
      <c r="K194" t="str">
        <f t="shared" ref="K194:K257" si="28">"og=("&amp;J194&amp;") OR oo=("&amp;J194&amp;") OR ad=("&amp;J194&amp;")"</f>
        <v>og=(Chinese Academy of Sciences*) OR oo=(Chinese Academy of Sciences*) OR ad=(Chinese Academy of Sciences*)</v>
      </c>
      <c r="L194" t="str">
        <f t="shared" ref="L194:L257" si="29">IF(I194="",K194,"(" &amp; K194 &amp; ") AND ad=(" &amp; I194 &amp; ")")</f>
        <v>og=(Chinese Academy of Sciences*) OR oo=(Chinese Academy of Sciences*) OR ad=(Chinese Academy of Sciences*)</v>
      </c>
    </row>
    <row r="195" spans="1:12">
      <c r="A195">
        <v>37054</v>
      </c>
      <c r="B195" t="s">
        <v>518</v>
      </c>
      <c r="C195" t="s">
        <v>518</v>
      </c>
      <c r="D195">
        <f t="shared" si="24"/>
        <v>4</v>
      </c>
      <c r="E195" t="str">
        <f t="shared" si="25"/>
        <v>University</v>
      </c>
      <c r="F195">
        <v>1</v>
      </c>
      <c r="G195" t="s">
        <v>963</v>
      </c>
      <c r="J195" t="str">
        <f t="shared" si="27"/>
        <v>North Dakota State*</v>
      </c>
      <c r="K195" t="str">
        <f t="shared" si="28"/>
        <v>og=(North Dakota State*) OR oo=(North Dakota State*) OR ad=(North Dakota State*)</v>
      </c>
      <c r="L195" t="str">
        <f t="shared" si="29"/>
        <v>og=(North Dakota State*) OR oo=(North Dakota State*) OR ad=(North Dakota State*)</v>
      </c>
    </row>
    <row r="196" spans="1:12">
      <c r="A196">
        <v>37054</v>
      </c>
      <c r="B196" t="s">
        <v>520</v>
      </c>
      <c r="C196" t="s">
        <v>536</v>
      </c>
      <c r="D196">
        <f t="shared" si="24"/>
        <v>3</v>
      </c>
      <c r="E196" t="str">
        <f t="shared" si="25"/>
        <v>Alabama</v>
      </c>
      <c r="F196">
        <v>3</v>
      </c>
      <c r="G196" t="s">
        <v>814</v>
      </c>
      <c r="J196" t="str">
        <f t="shared" si="27"/>
        <v>univ* Alabama*</v>
      </c>
      <c r="K196" t="str">
        <f t="shared" si="28"/>
        <v>og=(univ* Alabama*) OR oo=(univ* Alabama*) OR ad=(univ* Alabama*)</v>
      </c>
      <c r="L196" t="str">
        <f t="shared" si="29"/>
        <v>og=(univ* Alabama*) OR oo=(univ* Alabama*) OR ad=(univ* Alabama*)</v>
      </c>
    </row>
    <row r="197" spans="1:12">
      <c r="A197">
        <v>37054</v>
      </c>
      <c r="B197" t="s">
        <v>519</v>
      </c>
      <c r="C197" t="s">
        <v>519</v>
      </c>
      <c r="D197">
        <f t="shared" si="24"/>
        <v>2</v>
      </c>
      <c r="E197" t="str">
        <f t="shared" si="25"/>
        <v>University</v>
      </c>
      <c r="F197">
        <v>1</v>
      </c>
      <c r="G197" t="s">
        <v>964</v>
      </c>
      <c r="J197" t="str">
        <f t="shared" si="27"/>
        <v>Wuhan*</v>
      </c>
      <c r="K197" t="str">
        <f t="shared" si="28"/>
        <v>og=(Wuhan*) OR oo=(Wuhan*) OR ad=(Wuhan*)</v>
      </c>
      <c r="L197" t="str">
        <f t="shared" si="29"/>
        <v>og=(Wuhan*) OR oo=(Wuhan*) OR ad=(Wuhan*)</v>
      </c>
    </row>
    <row r="198" spans="1:12">
      <c r="A198">
        <v>37314</v>
      </c>
      <c r="B198" t="s">
        <v>123</v>
      </c>
      <c r="C198" t="s">
        <v>123</v>
      </c>
      <c r="D198">
        <f t="shared" si="24"/>
        <v>3</v>
      </c>
      <c r="E198" t="str">
        <f t="shared" si="25"/>
        <v>University</v>
      </c>
      <c r="F198">
        <v>1</v>
      </c>
      <c r="G198" t="s">
        <v>962</v>
      </c>
      <c r="J198" t="str">
        <f t="shared" si="27"/>
        <v>Florida Atlantic*</v>
      </c>
      <c r="K198" t="str">
        <f t="shared" si="28"/>
        <v>og=(Florida Atlantic*) OR oo=(Florida Atlantic*) OR ad=(Florida Atlantic*)</v>
      </c>
      <c r="L198" t="str">
        <f t="shared" si="29"/>
        <v>og=(Florida Atlantic*) OR oo=(Florida Atlantic*) OR ad=(Florida Atlantic*)</v>
      </c>
    </row>
    <row r="199" spans="1:12">
      <c r="A199">
        <v>37314</v>
      </c>
      <c r="B199" t="s">
        <v>624</v>
      </c>
      <c r="C199" t="s">
        <v>703</v>
      </c>
      <c r="D199">
        <f t="shared" si="24"/>
        <v>3</v>
      </c>
      <c r="E199" t="str">
        <f t="shared" si="25"/>
        <v>Liverpool</v>
      </c>
      <c r="F199">
        <v>3</v>
      </c>
      <c r="G199" t="s">
        <v>849</v>
      </c>
      <c r="J199" t="str">
        <f t="shared" si="27"/>
        <v>univ* Liverpool*</v>
      </c>
      <c r="K199" t="str">
        <f t="shared" si="28"/>
        <v>og=(univ* Liverpool*) OR oo=(univ* Liverpool*) OR ad=(univ* Liverpool*)</v>
      </c>
      <c r="L199" t="str">
        <f t="shared" si="29"/>
        <v>og=(univ* Liverpool*) OR oo=(univ* Liverpool*) OR ad=(univ* Liverpool*)</v>
      </c>
    </row>
    <row r="200" spans="1:12">
      <c r="A200">
        <v>37347</v>
      </c>
      <c r="B200" t="s">
        <v>148</v>
      </c>
      <c r="C200" t="s">
        <v>148</v>
      </c>
      <c r="D200">
        <f t="shared" si="24"/>
        <v>4</v>
      </c>
      <c r="E200" t="str">
        <f t="shared" si="25"/>
        <v>Technology</v>
      </c>
      <c r="F200">
        <v>0</v>
      </c>
      <c r="G200" t="s">
        <v>148</v>
      </c>
      <c r="J200" t="str">
        <f t="shared" si="27"/>
        <v>Illinois Institute of Technology*</v>
      </c>
      <c r="K200" t="str">
        <f t="shared" si="28"/>
        <v>og=(Illinois Institute of Technology*) OR oo=(Illinois Institute of Technology*) OR ad=(Illinois Institute of Technology*)</v>
      </c>
      <c r="L200" t="str">
        <f t="shared" si="29"/>
        <v>og=(Illinois Institute of Technology*) OR oo=(Illinois Institute of Technology*) OR ad=(Illinois Institute of Technology*)</v>
      </c>
    </row>
    <row r="201" spans="1:12">
      <c r="A201">
        <v>37347</v>
      </c>
      <c r="B201" t="s">
        <v>201</v>
      </c>
      <c r="C201" t="s">
        <v>201</v>
      </c>
      <c r="D201">
        <f t="shared" si="24"/>
        <v>2</v>
      </c>
      <c r="E201" t="str">
        <f t="shared" si="25"/>
        <v>University</v>
      </c>
      <c r="F201">
        <v>1</v>
      </c>
      <c r="G201" t="s">
        <v>965</v>
      </c>
      <c r="J201" t="str">
        <f t="shared" si="27"/>
        <v>Purdue*</v>
      </c>
      <c r="K201" t="str">
        <f t="shared" si="28"/>
        <v>og=(Purdue*) OR oo=(Purdue*) OR ad=(Purdue*)</v>
      </c>
      <c r="L201" t="str">
        <f t="shared" si="29"/>
        <v>og=(Purdue*) OR oo=(Purdue*) OR ad=(Purdue*)</v>
      </c>
    </row>
    <row r="202" spans="1:12">
      <c r="A202">
        <v>37347</v>
      </c>
      <c r="B202" t="s">
        <v>379</v>
      </c>
      <c r="C202" t="s">
        <v>626</v>
      </c>
      <c r="D202">
        <f t="shared" si="24"/>
        <v>5</v>
      </c>
      <c r="E202" t="str">
        <f t="shared" si="25"/>
        <v>Diego</v>
      </c>
      <c r="F202" t="s">
        <v>1036</v>
      </c>
      <c r="G202" t="s">
        <v>824</v>
      </c>
      <c r="H202" t="str">
        <f>TRIM(LEFT(SUBSTITUTE(G202,",",REPT(" ",99)),99))</f>
        <v>univ* California</v>
      </c>
      <c r="I202" t="str">
        <f>TRIM(RIGHT(SUBSTITUTE(C202,",",REPT(" ",99)),99))</f>
        <v>San Diego</v>
      </c>
      <c r="J202" t="str">
        <f>IF(MID(TRIM(H202),LEN(TRIM(H202)),1)="*",TRIM(H202),TRIM(H202)&amp;"*")</f>
        <v>univ* California*</v>
      </c>
      <c r="K202" t="str">
        <f t="shared" si="28"/>
        <v>og=(univ* California*) OR oo=(univ* California*) OR ad=(univ* California*)</v>
      </c>
      <c r="L202" t="str">
        <f t="shared" si="29"/>
        <v>(og=(univ* California*) OR oo=(univ* California*) OR ad=(univ* California*)) AND ad=(San Diego)</v>
      </c>
    </row>
    <row r="203" spans="1:12">
      <c r="A203">
        <v>37347</v>
      </c>
      <c r="B203" t="s">
        <v>389</v>
      </c>
      <c r="C203" t="s">
        <v>389</v>
      </c>
      <c r="D203">
        <f t="shared" si="24"/>
        <v>3</v>
      </c>
      <c r="E203" t="str">
        <f t="shared" si="25"/>
        <v>Washington</v>
      </c>
      <c r="F203">
        <v>3</v>
      </c>
      <c r="G203" t="s">
        <v>839</v>
      </c>
      <c r="J203" t="str">
        <f t="shared" ref="J203:J219" si="30">IF(MID(TRIM(G203),LEN(TRIM(G203)),1)="*",TRIM(G203),TRIM(G203)&amp;"*")</f>
        <v>univ* Washington*</v>
      </c>
      <c r="K203" t="str">
        <f t="shared" si="28"/>
        <v>og=(univ* Washington*) OR oo=(univ* Washington*) OR ad=(univ* Washington*)</v>
      </c>
      <c r="L203" t="str">
        <f t="shared" si="29"/>
        <v>og=(univ* Washington*) OR oo=(univ* Washington*) OR ad=(univ* Washington*)</v>
      </c>
    </row>
    <row r="204" spans="1:12">
      <c r="A204">
        <v>37577</v>
      </c>
      <c r="B204" t="s">
        <v>172</v>
      </c>
      <c r="C204" t="s">
        <v>172</v>
      </c>
      <c r="D204">
        <f t="shared" si="24"/>
        <v>4</v>
      </c>
      <c r="E204" t="str">
        <f t="shared" si="25"/>
        <v>Technology</v>
      </c>
      <c r="F204">
        <v>0</v>
      </c>
      <c r="G204" t="s">
        <v>172</v>
      </c>
      <c r="J204" t="str">
        <f t="shared" si="30"/>
        <v>Massachusetts Institute of Technology*</v>
      </c>
      <c r="K204" t="str">
        <f t="shared" si="28"/>
        <v>og=(Massachusetts Institute of Technology*) OR oo=(Massachusetts Institute of Technology*) OR ad=(Massachusetts Institute of Technology*)</v>
      </c>
      <c r="L204" t="str">
        <f t="shared" si="29"/>
        <v>og=(Massachusetts Institute of Technology*) OR oo=(Massachusetts Institute of Technology*) OR ad=(Massachusetts Institute of Technology*)</v>
      </c>
    </row>
    <row r="205" spans="1:12">
      <c r="A205">
        <v>37577</v>
      </c>
      <c r="B205" t="s">
        <v>464</v>
      </c>
      <c r="C205" t="s">
        <v>464</v>
      </c>
      <c r="D205">
        <f t="shared" ref="D205:D236" si="31">LEN(TRIM(C205))-LEN(SUBSTITUTE(C205," ",""))+1</f>
        <v>3</v>
      </c>
      <c r="E205" t="str">
        <f t="shared" ref="E205:E236" si="32">TRIM(RIGHT(SUBSTITUTE(C205," ",REPT(" ",99)),99))</f>
        <v>University</v>
      </c>
      <c r="F205">
        <v>1</v>
      </c>
      <c r="G205" t="s">
        <v>966</v>
      </c>
      <c r="J205" t="str">
        <f t="shared" si="30"/>
        <v>National Chung-Hsing*</v>
      </c>
      <c r="K205" t="str">
        <f t="shared" si="28"/>
        <v>og=(National Chung-Hsing*) OR oo=(National Chung-Hsing*) OR ad=(National Chung-Hsing*)</v>
      </c>
      <c r="L205" t="str">
        <f t="shared" si="29"/>
        <v>og=(National Chung-Hsing*) OR oo=(National Chung-Hsing*) OR ad=(National Chung-Hsing*)</v>
      </c>
    </row>
    <row r="206" spans="1:12">
      <c r="A206">
        <v>37577</v>
      </c>
      <c r="B206" t="s">
        <v>186</v>
      </c>
      <c r="C206" t="s">
        <v>186</v>
      </c>
      <c r="D206">
        <f t="shared" si="31"/>
        <v>7</v>
      </c>
      <c r="E206" t="str">
        <f t="shared" si="32"/>
        <v>Technology</v>
      </c>
      <c r="F206">
        <v>0</v>
      </c>
      <c r="G206" t="s">
        <v>186</v>
      </c>
      <c r="J206" t="str">
        <f t="shared" si="30"/>
        <v>New Mexico Institute of Mining and Technology*</v>
      </c>
      <c r="K206" t="str">
        <f t="shared" si="28"/>
        <v>og=(New Mexico Institute of Mining and Technology*) OR oo=(New Mexico Institute of Mining and Technology*) OR ad=(New Mexico Institute of Mining and Technology*)</v>
      </c>
      <c r="L206" t="str">
        <f t="shared" si="29"/>
        <v>og=(New Mexico Institute of Mining and Technology*) OR oo=(New Mexico Institute of Mining and Technology*) OR ad=(New Mexico Institute of Mining and Technology*)</v>
      </c>
    </row>
    <row r="207" spans="1:12">
      <c r="A207">
        <v>37577</v>
      </c>
      <c r="B207" t="s">
        <v>320</v>
      </c>
      <c r="C207" t="s">
        <v>320</v>
      </c>
      <c r="D207">
        <f t="shared" si="31"/>
        <v>2</v>
      </c>
      <c r="E207" t="str">
        <f t="shared" si="32"/>
        <v>University</v>
      </c>
      <c r="F207">
        <v>1</v>
      </c>
      <c r="G207" t="s">
        <v>967</v>
      </c>
      <c r="J207" t="str">
        <f t="shared" si="30"/>
        <v>Vanderbilt*</v>
      </c>
      <c r="K207" t="str">
        <f t="shared" si="28"/>
        <v>og=(Vanderbilt*) OR oo=(Vanderbilt*) OR ad=(Vanderbilt*)</v>
      </c>
      <c r="L207" t="str">
        <f t="shared" si="29"/>
        <v>og=(Vanderbilt*) OR oo=(Vanderbilt*) OR ad=(Vanderbilt*)</v>
      </c>
    </row>
    <row r="208" spans="1:12">
      <c r="A208">
        <v>37623</v>
      </c>
      <c r="B208" t="s">
        <v>108</v>
      </c>
      <c r="C208" t="s">
        <v>108</v>
      </c>
      <c r="D208">
        <f t="shared" si="31"/>
        <v>3</v>
      </c>
      <c r="E208" t="str">
        <f t="shared" si="32"/>
        <v>University</v>
      </c>
      <c r="F208">
        <v>1</v>
      </c>
      <c r="G208" t="s">
        <v>895</v>
      </c>
      <c r="J208" t="str">
        <f t="shared" si="30"/>
        <v>East Carolina*</v>
      </c>
      <c r="K208" t="str">
        <f t="shared" si="28"/>
        <v>og=(East Carolina*) OR oo=(East Carolina*) OR ad=(East Carolina*)</v>
      </c>
      <c r="L208" t="str">
        <f t="shared" si="29"/>
        <v>og=(East Carolina*) OR oo=(East Carolina*) OR ad=(East Carolina*)</v>
      </c>
    </row>
    <row r="209" spans="1:12">
      <c r="A209">
        <v>37623</v>
      </c>
      <c r="B209" t="s">
        <v>390</v>
      </c>
      <c r="C209" t="s">
        <v>390</v>
      </c>
      <c r="D209">
        <f t="shared" si="31"/>
        <v>2</v>
      </c>
      <c r="E209" t="str">
        <f t="shared" si="32"/>
        <v>University</v>
      </c>
      <c r="F209">
        <v>1</v>
      </c>
      <c r="G209" t="s">
        <v>968</v>
      </c>
      <c r="J209" t="str">
        <f t="shared" si="30"/>
        <v>Furman*</v>
      </c>
      <c r="K209" t="str">
        <f t="shared" si="28"/>
        <v>og=(Furman*) OR oo=(Furman*) OR ad=(Furman*)</v>
      </c>
      <c r="L209" t="str">
        <f t="shared" si="29"/>
        <v>og=(Furman*) OR oo=(Furman*) OR ad=(Furman*)</v>
      </c>
    </row>
    <row r="210" spans="1:12">
      <c r="A210">
        <v>37623</v>
      </c>
      <c r="B210" t="s">
        <v>190</v>
      </c>
      <c r="C210" t="s">
        <v>190</v>
      </c>
      <c r="D210">
        <f t="shared" si="31"/>
        <v>4</v>
      </c>
      <c r="E210" t="str">
        <f t="shared" si="32"/>
        <v>University</v>
      </c>
      <c r="F210">
        <v>1</v>
      </c>
      <c r="G210" t="s">
        <v>897</v>
      </c>
      <c r="J210" t="str">
        <f t="shared" si="30"/>
        <v>North Carolina State*</v>
      </c>
      <c r="K210" t="str">
        <f t="shared" si="28"/>
        <v>og=(North Carolina State*) OR oo=(North Carolina State*) OR ad=(North Carolina State*)</v>
      </c>
      <c r="L210" t="str">
        <f t="shared" si="29"/>
        <v>og=(North Carolina State*) OR oo=(North Carolina State*) OR ad=(North Carolina State*)</v>
      </c>
    </row>
    <row r="211" spans="1:12">
      <c r="A211">
        <v>37623</v>
      </c>
      <c r="B211" t="s">
        <v>318</v>
      </c>
      <c r="C211" t="s">
        <v>318</v>
      </c>
      <c r="D211">
        <f t="shared" si="31"/>
        <v>3</v>
      </c>
      <c r="E211" t="str">
        <f t="shared" si="32"/>
        <v>Virginia</v>
      </c>
      <c r="F211">
        <v>3</v>
      </c>
      <c r="G211" t="s">
        <v>813</v>
      </c>
      <c r="J211" t="str">
        <f t="shared" si="30"/>
        <v>univ* Virginia*</v>
      </c>
      <c r="K211" t="str">
        <f t="shared" si="28"/>
        <v>og=(univ* Virginia*) OR oo=(univ* Virginia*) OR ad=(univ* Virginia*)</v>
      </c>
      <c r="L211" t="str">
        <f t="shared" si="29"/>
        <v>og=(univ* Virginia*) OR oo=(univ* Virginia*) OR ad=(univ* Virginia*)</v>
      </c>
    </row>
    <row r="212" spans="1:12">
      <c r="A212">
        <v>38326</v>
      </c>
      <c r="B212" t="s">
        <v>39</v>
      </c>
      <c r="C212" t="s">
        <v>39</v>
      </c>
      <c r="D212">
        <f t="shared" si="31"/>
        <v>3</v>
      </c>
      <c r="E212" t="str">
        <f t="shared" si="32"/>
        <v>College</v>
      </c>
      <c r="F212">
        <v>2</v>
      </c>
      <c r="G212" t="s">
        <v>886</v>
      </c>
      <c r="J212" t="str">
        <f t="shared" si="30"/>
        <v>Bryn Mawr*</v>
      </c>
      <c r="K212" t="str">
        <f t="shared" si="28"/>
        <v>og=(Bryn Mawr*) OR oo=(Bryn Mawr*) OR ad=(Bryn Mawr*)</v>
      </c>
      <c r="L212" t="str">
        <f t="shared" si="29"/>
        <v>og=(Bryn Mawr*) OR oo=(Bryn Mawr*) OR ad=(Bryn Mawr*)</v>
      </c>
    </row>
    <row r="213" spans="1:12">
      <c r="A213">
        <v>38326</v>
      </c>
      <c r="B213" t="s">
        <v>138</v>
      </c>
      <c r="C213" t="s">
        <v>138</v>
      </c>
      <c r="D213">
        <f t="shared" si="31"/>
        <v>2</v>
      </c>
      <c r="E213" t="str">
        <f t="shared" si="32"/>
        <v>University</v>
      </c>
      <c r="F213">
        <v>1</v>
      </c>
      <c r="G213" t="s">
        <v>969</v>
      </c>
      <c r="J213" t="str">
        <f t="shared" si="30"/>
        <v>Harvard*</v>
      </c>
      <c r="K213" t="str">
        <f t="shared" si="28"/>
        <v>og=(Harvard*) OR oo=(Harvard*) OR ad=(Harvard*)</v>
      </c>
      <c r="L213" t="str">
        <f t="shared" si="29"/>
        <v>og=(Harvard*) OR oo=(Harvard*) OR ad=(Harvard*)</v>
      </c>
    </row>
    <row r="214" spans="1:12">
      <c r="A214">
        <v>38326</v>
      </c>
      <c r="B214" t="s">
        <v>200</v>
      </c>
      <c r="C214" t="s">
        <v>200</v>
      </c>
      <c r="D214">
        <f t="shared" si="31"/>
        <v>2</v>
      </c>
      <c r="E214" t="str">
        <f t="shared" si="32"/>
        <v>University</v>
      </c>
      <c r="F214">
        <v>1</v>
      </c>
      <c r="G214" t="s">
        <v>961</v>
      </c>
      <c r="J214" t="str">
        <f t="shared" si="30"/>
        <v>Princeton*</v>
      </c>
      <c r="K214" t="str">
        <f t="shared" si="28"/>
        <v>og=(Princeton*) OR oo=(Princeton*) OR ad=(Princeton*)</v>
      </c>
      <c r="L214" t="str">
        <f t="shared" si="29"/>
        <v>og=(Princeton*) OR oo=(Princeton*) OR ad=(Princeton*)</v>
      </c>
    </row>
    <row r="215" spans="1:12">
      <c r="A215">
        <v>38326</v>
      </c>
      <c r="B215" t="s">
        <v>522</v>
      </c>
      <c r="C215" t="s">
        <v>522</v>
      </c>
      <c r="D215">
        <f t="shared" si="31"/>
        <v>3</v>
      </c>
      <c r="E215" t="str">
        <f t="shared" si="32"/>
        <v>California</v>
      </c>
      <c r="F215">
        <v>3</v>
      </c>
      <c r="G215" t="s">
        <v>850</v>
      </c>
      <c r="J215" t="str">
        <f t="shared" si="30"/>
        <v>univ* California*</v>
      </c>
      <c r="K215" t="str">
        <f t="shared" si="28"/>
        <v>og=(univ* California*) OR oo=(univ* California*) OR ad=(univ* California*)</v>
      </c>
      <c r="L215" t="str">
        <f t="shared" si="29"/>
        <v>og=(univ* California*) OR oo=(univ* California*) OR ad=(univ* California*)</v>
      </c>
    </row>
    <row r="216" spans="1:12">
      <c r="A216">
        <v>38326</v>
      </c>
      <c r="B216" t="s">
        <v>521</v>
      </c>
      <c r="C216" t="s">
        <v>521</v>
      </c>
      <c r="D216">
        <f t="shared" si="31"/>
        <v>3</v>
      </c>
      <c r="E216" t="str">
        <f t="shared" si="32"/>
        <v>Massachusetts</v>
      </c>
      <c r="F216">
        <v>3</v>
      </c>
      <c r="G216" t="s">
        <v>851</v>
      </c>
      <c r="J216" t="str">
        <f t="shared" si="30"/>
        <v>univ* Massachusetts*</v>
      </c>
      <c r="K216" t="str">
        <f t="shared" si="28"/>
        <v>og=(univ* Massachusetts*) OR oo=(univ* Massachusetts*) OR ad=(univ* Massachusetts*)</v>
      </c>
      <c r="L216" t="str">
        <f t="shared" si="29"/>
        <v>og=(univ* Massachusetts*) OR oo=(univ* Massachusetts*) OR ad=(univ* Massachusetts*)</v>
      </c>
    </row>
    <row r="217" spans="1:12">
      <c r="A217">
        <v>38368</v>
      </c>
      <c r="B217" t="s">
        <v>64</v>
      </c>
      <c r="C217" t="s">
        <v>64</v>
      </c>
      <c r="D217">
        <f t="shared" si="31"/>
        <v>3</v>
      </c>
      <c r="E217" t="str">
        <f t="shared" si="32"/>
        <v>University</v>
      </c>
      <c r="F217">
        <v>1</v>
      </c>
      <c r="G217" t="s">
        <v>970</v>
      </c>
      <c r="J217" t="str">
        <f t="shared" si="30"/>
        <v>Central Michigan*</v>
      </c>
      <c r="K217" t="str">
        <f t="shared" si="28"/>
        <v>og=(Central Michigan*) OR oo=(Central Michigan*) OR ad=(Central Michigan*)</v>
      </c>
      <c r="L217" t="str">
        <f t="shared" si="29"/>
        <v>og=(Central Michigan*) OR oo=(Central Michigan*) OR ad=(Central Michigan*)</v>
      </c>
    </row>
    <row r="218" spans="1:12">
      <c r="A218">
        <v>38368</v>
      </c>
      <c r="B218" t="s">
        <v>525</v>
      </c>
      <c r="C218" t="s">
        <v>525</v>
      </c>
      <c r="D218">
        <f t="shared" si="31"/>
        <v>4</v>
      </c>
      <c r="E218" t="str">
        <f t="shared" si="32"/>
        <v>University</v>
      </c>
      <c r="F218">
        <v>1</v>
      </c>
      <c r="G218" t="s">
        <v>971</v>
      </c>
      <c r="J218" t="str">
        <f t="shared" si="30"/>
        <v>Chung Yuan Christian*</v>
      </c>
      <c r="K218" t="str">
        <f t="shared" si="28"/>
        <v>og=(Chung Yuan Christian*) OR oo=(Chung Yuan Christian*) OR ad=(Chung Yuan Christian*)</v>
      </c>
      <c r="L218" t="str">
        <f t="shared" si="29"/>
        <v>og=(Chung Yuan Christian*) OR oo=(Chung Yuan Christian*) OR ad=(Chung Yuan Christian*)</v>
      </c>
    </row>
    <row r="219" spans="1:12">
      <c r="A219">
        <v>38368</v>
      </c>
      <c r="B219" t="s">
        <v>524</v>
      </c>
      <c r="C219" t="s">
        <v>696</v>
      </c>
      <c r="D219">
        <f t="shared" si="31"/>
        <v>3</v>
      </c>
      <c r="E219" t="str">
        <f t="shared" si="32"/>
        <v>Arkansas</v>
      </c>
      <c r="F219">
        <v>3</v>
      </c>
      <c r="G219" t="s">
        <v>852</v>
      </c>
      <c r="J219" t="str">
        <f t="shared" si="30"/>
        <v>univ* Arkansas*</v>
      </c>
      <c r="K219" t="str">
        <f t="shared" si="28"/>
        <v>og=(univ* Arkansas*) OR oo=(univ* Arkansas*) OR ad=(univ* Arkansas*)</v>
      </c>
      <c r="L219" t="str">
        <f t="shared" si="29"/>
        <v>og=(univ* Arkansas*) OR oo=(univ* Arkansas*) OR ad=(univ* Arkansas*)</v>
      </c>
    </row>
    <row r="220" spans="1:12">
      <c r="A220">
        <v>38368</v>
      </c>
      <c r="B220" t="s">
        <v>294</v>
      </c>
      <c r="C220" t="s">
        <v>706</v>
      </c>
      <c r="D220">
        <f t="shared" si="31"/>
        <v>4</v>
      </c>
      <c r="E220" t="str">
        <f t="shared" si="32"/>
        <v>Columbia</v>
      </c>
      <c r="F220" t="s">
        <v>1036</v>
      </c>
      <c r="G220" t="s">
        <v>853</v>
      </c>
      <c r="H220" t="str">
        <f>TRIM(LEFT(SUBSTITUTE(G220,",",REPT(" ",99)),99))</f>
        <v>univ* Missouri</v>
      </c>
      <c r="I220" t="str">
        <f>TRIM(RIGHT(SUBSTITUTE(C220,",",REPT(" ",99)),99))</f>
        <v>Columbia</v>
      </c>
      <c r="J220" t="str">
        <f>IF(MID(TRIM(H220),LEN(TRIM(H220)),1)="*",TRIM(H220),TRIM(H220)&amp;"*")</f>
        <v>univ* Missouri*</v>
      </c>
      <c r="K220" t="str">
        <f t="shared" si="28"/>
        <v>og=(univ* Missouri*) OR oo=(univ* Missouri*) OR ad=(univ* Missouri*)</v>
      </c>
      <c r="L220" t="str">
        <f t="shared" si="29"/>
        <v>(og=(univ* Missouri*) OR oo=(univ* Missouri*) OR ad=(univ* Missouri*)) AND ad=(Columbia)</v>
      </c>
    </row>
    <row r="221" spans="1:12">
      <c r="A221">
        <v>38580</v>
      </c>
      <c r="B221" t="s">
        <v>465</v>
      </c>
      <c r="C221" t="s">
        <v>465</v>
      </c>
      <c r="D221">
        <f t="shared" si="31"/>
        <v>4</v>
      </c>
      <c r="E221" t="str">
        <f t="shared" si="32"/>
        <v>Sciences</v>
      </c>
      <c r="F221">
        <v>0</v>
      </c>
      <c r="G221" t="s">
        <v>465</v>
      </c>
      <c r="J221" t="str">
        <f>IF(MID(TRIM(G221),LEN(TRIM(G221)),1)="*",TRIM(G221),TRIM(G221)&amp;"*")</f>
        <v>Chinese Academy of Sciences*</v>
      </c>
      <c r="K221" t="str">
        <f t="shared" si="28"/>
        <v>og=(Chinese Academy of Sciences*) OR oo=(Chinese Academy of Sciences*) OR ad=(Chinese Academy of Sciences*)</v>
      </c>
      <c r="L221" t="str">
        <f t="shared" si="29"/>
        <v>og=(Chinese Academy of Sciences*) OR oo=(Chinese Academy of Sciences*) OR ad=(Chinese Academy of Sciences*)</v>
      </c>
    </row>
    <row r="222" spans="1:12">
      <c r="A222">
        <v>38580</v>
      </c>
      <c r="B222" t="s">
        <v>415</v>
      </c>
      <c r="C222" t="s">
        <v>415</v>
      </c>
      <c r="D222">
        <f t="shared" si="31"/>
        <v>4</v>
      </c>
      <c r="E222" t="str">
        <f t="shared" si="32"/>
        <v>University</v>
      </c>
      <c r="F222">
        <v>1</v>
      </c>
      <c r="G222" t="s">
        <v>972</v>
      </c>
      <c r="J222" t="str">
        <f>IF(MID(TRIM(G222),LEN(TRIM(G222)),1)="*",TRIM(G222),TRIM(G222)&amp;"*")</f>
        <v>Hong Kong Polytechnic*</v>
      </c>
      <c r="K222" t="str">
        <f t="shared" si="28"/>
        <v>og=(Hong Kong Polytechnic*) OR oo=(Hong Kong Polytechnic*) OR ad=(Hong Kong Polytechnic*)</v>
      </c>
      <c r="L222" t="str">
        <f t="shared" si="29"/>
        <v>og=(Hong Kong Polytechnic*) OR oo=(Hong Kong Polytechnic*) OR ad=(Hong Kong Polytechnic*)</v>
      </c>
    </row>
    <row r="223" spans="1:12">
      <c r="A223">
        <v>38580</v>
      </c>
      <c r="B223" t="s">
        <v>625</v>
      </c>
      <c r="C223" t="s">
        <v>625</v>
      </c>
      <c r="D223">
        <f t="shared" si="31"/>
        <v>5</v>
      </c>
      <c r="E223" t="str">
        <f t="shared" si="32"/>
        <v>Sinica</v>
      </c>
      <c r="F223">
        <v>5</v>
      </c>
      <c r="G223" t="s">
        <v>625</v>
      </c>
      <c r="H223" t="str">
        <f>TRIM(LEFT(SUBSTITUTE(G223,",",REPT(" ",99)),99))</f>
        <v>Institute of Mathematics</v>
      </c>
      <c r="I223" t="str">
        <f>TRIM(RIGHT(SUBSTITUTE(C223,",",REPT(" ",99)),99))</f>
        <v>Academy Sinica</v>
      </c>
      <c r="J223" t="str">
        <f>IF(MID(TRIM(H223),LEN(TRIM(H223)),1)="*",TRIM(H223),TRIM(H223)&amp;"*")</f>
        <v>Institute of Mathematics*</v>
      </c>
      <c r="K223" t="str">
        <f t="shared" si="28"/>
        <v>og=(Institute of Mathematics*) OR oo=(Institute of Mathematics*) OR ad=(Institute of Mathematics*)</v>
      </c>
      <c r="L223" t="str">
        <f t="shared" si="29"/>
        <v>(og=(Institute of Mathematics*) OR oo=(Institute of Mathematics*) OR ad=(Institute of Mathematics*)) AND ad=(Academy Sinica)</v>
      </c>
    </row>
    <row r="224" spans="1:12">
      <c r="A224">
        <v>38580</v>
      </c>
      <c r="B224" t="s">
        <v>412</v>
      </c>
      <c r="C224" t="s">
        <v>412</v>
      </c>
      <c r="D224">
        <f t="shared" si="31"/>
        <v>3</v>
      </c>
      <c r="E224" t="str">
        <f t="shared" si="32"/>
        <v>University</v>
      </c>
      <c r="F224">
        <v>1</v>
      </c>
      <c r="G224" t="s">
        <v>973</v>
      </c>
      <c r="J224" t="str">
        <f>IF(MID(TRIM(G224),LEN(TRIM(G224)),1)="*",TRIM(G224),TRIM(G224)&amp;"*")</f>
        <v>Pennsylvania State*</v>
      </c>
      <c r="K224" t="str">
        <f t="shared" si="28"/>
        <v>og=(Pennsylvania State*) OR oo=(Pennsylvania State*) OR ad=(Pennsylvania State*)</v>
      </c>
      <c r="L224" t="str">
        <f t="shared" si="29"/>
        <v>og=(Pennsylvania State*) OR oo=(Pennsylvania State*) OR ad=(Pennsylvania State*)</v>
      </c>
    </row>
    <row r="225" spans="1:12">
      <c r="A225">
        <v>38580</v>
      </c>
      <c r="B225" t="s">
        <v>416</v>
      </c>
      <c r="C225" t="s">
        <v>416</v>
      </c>
      <c r="D225">
        <f t="shared" si="31"/>
        <v>2</v>
      </c>
      <c r="E225" t="str">
        <f t="shared" si="32"/>
        <v>University</v>
      </c>
      <c r="F225">
        <v>1</v>
      </c>
      <c r="G225" t="s">
        <v>974</v>
      </c>
      <c r="J225" t="str">
        <f>IF(MID(TRIM(G225),LEN(TRIM(G225)),1)="*",TRIM(G225),TRIM(G225)&amp;"*")</f>
        <v>Shandong*</v>
      </c>
      <c r="K225" t="str">
        <f t="shared" si="28"/>
        <v>og=(Shandong*) OR oo=(Shandong*) OR ad=(Shandong*)</v>
      </c>
      <c r="L225" t="str">
        <f t="shared" si="29"/>
        <v>og=(Shandong*) OR oo=(Shandong*) OR ad=(Shandong*)</v>
      </c>
    </row>
    <row r="226" spans="1:12">
      <c r="A226">
        <v>38580</v>
      </c>
      <c r="B226" t="s">
        <v>413</v>
      </c>
      <c r="C226" t="s">
        <v>413</v>
      </c>
      <c r="D226">
        <f t="shared" si="31"/>
        <v>3</v>
      </c>
      <c r="E226" t="str">
        <f t="shared" si="32"/>
        <v>University</v>
      </c>
      <c r="F226">
        <v>1</v>
      </c>
      <c r="G226" t="s">
        <v>975</v>
      </c>
      <c r="J226" t="str">
        <f>IF(MID(TRIM(G226),LEN(TRIM(G226)),1)="*",TRIM(G226),TRIM(G226)&amp;"*")</f>
        <v>Simon Fraser*</v>
      </c>
      <c r="K226" t="str">
        <f t="shared" si="28"/>
        <v>og=(Simon Fraser*) OR oo=(Simon Fraser*) OR ad=(Simon Fraser*)</v>
      </c>
      <c r="L226" t="str">
        <f t="shared" si="29"/>
        <v>og=(Simon Fraser*) OR oo=(Simon Fraser*) OR ad=(Simon Fraser*)</v>
      </c>
    </row>
    <row r="227" spans="1:12">
      <c r="A227">
        <v>38580</v>
      </c>
      <c r="B227" t="s">
        <v>417</v>
      </c>
      <c r="C227" t="s">
        <v>417</v>
      </c>
      <c r="D227">
        <f t="shared" si="31"/>
        <v>2</v>
      </c>
      <c r="E227" t="str">
        <f t="shared" si="32"/>
        <v>University</v>
      </c>
      <c r="F227">
        <v>1</v>
      </c>
      <c r="G227" t="s">
        <v>976</v>
      </c>
      <c r="J227" t="str">
        <f>IF(MID(TRIM(G227),LEN(TRIM(G227)),1)="*",TRIM(G227),TRIM(G227)&amp;"*")</f>
        <v>Tongji*</v>
      </c>
      <c r="K227" t="str">
        <f t="shared" si="28"/>
        <v>og=(Tongji*) OR oo=(Tongji*) OR ad=(Tongji*)</v>
      </c>
      <c r="L227" t="str">
        <f t="shared" si="29"/>
        <v>og=(Tongji*) OR oo=(Tongji*) OR ad=(Tongji*)</v>
      </c>
    </row>
    <row r="228" spans="1:12">
      <c r="A228">
        <v>38580</v>
      </c>
      <c r="B228" t="s">
        <v>411</v>
      </c>
      <c r="C228" t="s">
        <v>708</v>
      </c>
      <c r="D228">
        <f t="shared" si="31"/>
        <v>5</v>
      </c>
      <c r="E228" t="str">
        <f t="shared" si="32"/>
        <v>Vegas</v>
      </c>
      <c r="F228" t="s">
        <v>1036</v>
      </c>
      <c r="G228" t="s">
        <v>854</v>
      </c>
      <c r="H228" t="str">
        <f>TRIM(LEFT(SUBSTITUTE(G228,",",REPT(" ",99)),99))</f>
        <v>univ* Nevada</v>
      </c>
      <c r="I228" t="str">
        <f>TRIM(RIGHT(SUBSTITUTE(C228,",",REPT(" ",99)),99))</f>
        <v>Las Vegas</v>
      </c>
      <c r="J228" t="str">
        <f>IF(MID(TRIM(H228),LEN(TRIM(H228)),1)="*",TRIM(H228),TRIM(H228)&amp;"*")</f>
        <v>univ* Nevada*</v>
      </c>
      <c r="K228" t="str">
        <f t="shared" si="28"/>
        <v>og=(univ* Nevada*) OR oo=(univ* Nevada*) OR ad=(univ* Nevada*)</v>
      </c>
      <c r="L228" t="str">
        <f t="shared" si="29"/>
        <v>(og=(univ* Nevada*) OR oo=(univ* Nevada*) OR ad=(univ* Nevada*)) AND ad=(Las Vegas)</v>
      </c>
    </row>
    <row r="229" spans="1:12">
      <c r="A229">
        <v>38653</v>
      </c>
      <c r="B229" t="s">
        <v>526</v>
      </c>
      <c r="C229" t="s">
        <v>526</v>
      </c>
      <c r="D229">
        <f t="shared" si="31"/>
        <v>2</v>
      </c>
      <c r="E229" t="str">
        <f t="shared" si="32"/>
        <v>College</v>
      </c>
      <c r="F229">
        <v>2</v>
      </c>
      <c r="G229" t="s">
        <v>935</v>
      </c>
      <c r="J229" t="str">
        <f t="shared" ref="J229:J235" si="33">IF(MID(TRIM(G229),LEN(TRIM(G229)),1)="*",TRIM(G229),TRIM(G229)&amp;"*")</f>
        <v>Columbia*</v>
      </c>
      <c r="K229" t="str">
        <f t="shared" si="28"/>
        <v>og=(Columbia*) OR oo=(Columbia*) OR ad=(Columbia*)</v>
      </c>
      <c r="L229" t="str">
        <f t="shared" si="29"/>
        <v>og=(Columbia*) OR oo=(Columbia*) OR ad=(Columbia*)</v>
      </c>
    </row>
    <row r="230" spans="1:12">
      <c r="A230">
        <v>38653</v>
      </c>
      <c r="B230" t="s">
        <v>528</v>
      </c>
      <c r="C230" t="s">
        <v>528</v>
      </c>
      <c r="D230">
        <f t="shared" si="31"/>
        <v>2</v>
      </c>
      <c r="E230" t="str">
        <f t="shared" si="32"/>
        <v>College</v>
      </c>
      <c r="F230">
        <v>2</v>
      </c>
      <c r="G230" t="s">
        <v>977</v>
      </c>
      <c r="J230" t="str">
        <f t="shared" si="33"/>
        <v>Hunter*</v>
      </c>
      <c r="K230" t="str">
        <f t="shared" si="28"/>
        <v>og=(Hunter*) OR oo=(Hunter*) OR ad=(Hunter*)</v>
      </c>
      <c r="L230" t="str">
        <f t="shared" si="29"/>
        <v>og=(Hunter*) OR oo=(Hunter*) OR ad=(Hunter*)</v>
      </c>
    </row>
    <row r="231" spans="1:12">
      <c r="A231">
        <v>38653</v>
      </c>
      <c r="B231" t="s">
        <v>200</v>
      </c>
      <c r="C231" t="s">
        <v>200</v>
      </c>
      <c r="D231">
        <f t="shared" si="31"/>
        <v>2</v>
      </c>
      <c r="E231" t="str">
        <f t="shared" si="32"/>
        <v>University</v>
      </c>
      <c r="F231">
        <v>1</v>
      </c>
      <c r="G231" t="s">
        <v>961</v>
      </c>
      <c r="J231" t="str">
        <f t="shared" si="33"/>
        <v>Princeton*</v>
      </c>
      <c r="K231" t="str">
        <f t="shared" si="28"/>
        <v>og=(Princeton*) OR oo=(Princeton*) OR ad=(Princeton*)</v>
      </c>
      <c r="L231" t="str">
        <f t="shared" si="29"/>
        <v>og=(Princeton*) OR oo=(Princeton*) OR ad=(Princeton*)</v>
      </c>
    </row>
    <row r="232" spans="1:12">
      <c r="A232">
        <v>38653</v>
      </c>
      <c r="B232" t="s">
        <v>507</v>
      </c>
      <c r="C232" t="s">
        <v>507</v>
      </c>
      <c r="D232">
        <f t="shared" si="31"/>
        <v>2</v>
      </c>
      <c r="E232" t="str">
        <f t="shared" si="32"/>
        <v>University</v>
      </c>
      <c r="F232">
        <v>1</v>
      </c>
      <c r="G232" t="s">
        <v>941</v>
      </c>
      <c r="J232" t="str">
        <f t="shared" si="33"/>
        <v>Rutgers*</v>
      </c>
      <c r="K232" t="str">
        <f t="shared" si="28"/>
        <v>og=(Rutgers*) OR oo=(Rutgers*) OR ad=(Rutgers*)</v>
      </c>
      <c r="L232" t="str">
        <f t="shared" si="29"/>
        <v>og=(Rutgers*) OR oo=(Rutgers*) OR ad=(Rutgers*)</v>
      </c>
    </row>
    <row r="233" spans="1:12">
      <c r="A233">
        <v>38653</v>
      </c>
      <c r="B233" t="s">
        <v>229</v>
      </c>
      <c r="C233" t="s">
        <v>229</v>
      </c>
      <c r="D233">
        <f t="shared" si="31"/>
        <v>4</v>
      </c>
      <c r="E233" t="str">
        <f t="shared" si="32"/>
        <v>Technology</v>
      </c>
      <c r="F233">
        <v>0</v>
      </c>
      <c r="G233" t="s">
        <v>229</v>
      </c>
      <c r="J233" t="str">
        <f t="shared" si="33"/>
        <v>Stevens Institute of Technology*</v>
      </c>
      <c r="K233" t="str">
        <f t="shared" si="28"/>
        <v>og=(Stevens Institute of Technology*) OR oo=(Stevens Institute of Technology*) OR ad=(Stevens Institute of Technology*)</v>
      </c>
      <c r="L233" t="str">
        <f t="shared" si="29"/>
        <v>og=(Stevens Institute of Technology*) OR oo=(Stevens Institute of Technology*) OR ad=(Stevens Institute of Technology*)</v>
      </c>
    </row>
    <row r="234" spans="1:12">
      <c r="A234">
        <v>38653</v>
      </c>
      <c r="B234" t="s">
        <v>527</v>
      </c>
      <c r="C234" t="s">
        <v>527</v>
      </c>
      <c r="D234">
        <f t="shared" si="31"/>
        <v>2</v>
      </c>
      <c r="E234" t="str">
        <f t="shared" si="32"/>
        <v>University</v>
      </c>
      <c r="F234">
        <v>1</v>
      </c>
      <c r="G234" t="s">
        <v>978</v>
      </c>
      <c r="J234" t="str">
        <f t="shared" si="33"/>
        <v>Yeshiva*</v>
      </c>
      <c r="K234" t="str">
        <f t="shared" si="28"/>
        <v>og=(Yeshiva*) OR oo=(Yeshiva*) OR ad=(Yeshiva*)</v>
      </c>
      <c r="L234" t="str">
        <f t="shared" si="29"/>
        <v>og=(Yeshiva*) OR oo=(Yeshiva*) OR ad=(Yeshiva*)</v>
      </c>
    </row>
    <row r="235" spans="1:12">
      <c r="A235">
        <v>38827</v>
      </c>
      <c r="B235" t="s">
        <v>36</v>
      </c>
      <c r="C235" t="s">
        <v>36</v>
      </c>
      <c r="D235">
        <f t="shared" si="31"/>
        <v>3</v>
      </c>
      <c r="E235" t="str">
        <f t="shared" si="32"/>
        <v>University</v>
      </c>
      <c r="F235">
        <v>1</v>
      </c>
      <c r="G235" t="s">
        <v>979</v>
      </c>
      <c r="J235" t="str">
        <f t="shared" si="33"/>
        <v>Brigham Young*</v>
      </c>
      <c r="K235" t="str">
        <f t="shared" si="28"/>
        <v>og=(Brigham Young*) OR oo=(Brigham Young*) OR ad=(Brigham Young*)</v>
      </c>
      <c r="L235" t="str">
        <f t="shared" si="29"/>
        <v>og=(Brigham Young*) OR oo=(Brigham Young*) OR ad=(Brigham Young*)</v>
      </c>
    </row>
    <row r="236" spans="1:12">
      <c r="A236">
        <v>38827</v>
      </c>
      <c r="B236" t="s">
        <v>626</v>
      </c>
      <c r="C236" t="s">
        <v>626</v>
      </c>
      <c r="D236">
        <f t="shared" si="31"/>
        <v>5</v>
      </c>
      <c r="E236" t="str">
        <f t="shared" si="32"/>
        <v>Diego</v>
      </c>
      <c r="F236" t="s">
        <v>1036</v>
      </c>
      <c r="G236" t="s">
        <v>824</v>
      </c>
      <c r="H236" t="str">
        <f>TRIM(LEFT(SUBSTITUTE(G236,",",REPT(" ",99)),99))</f>
        <v>univ* California</v>
      </c>
      <c r="I236" t="str">
        <f>TRIM(RIGHT(SUBSTITUTE(C236,",",REPT(" ",99)),99))</f>
        <v>San Diego</v>
      </c>
      <c r="J236" t="str">
        <f>IF(MID(TRIM(H236),LEN(TRIM(H236)),1)="*",TRIM(H236),TRIM(H236)&amp;"*")</f>
        <v>univ* California*</v>
      </c>
      <c r="K236" t="str">
        <f t="shared" si="28"/>
        <v>og=(univ* California*) OR oo=(univ* California*) OR ad=(univ* California*)</v>
      </c>
      <c r="L236" t="str">
        <f t="shared" si="29"/>
        <v>(og=(univ* California*) OR oo=(univ* California*) OR ad=(univ* California*)) AND ad=(San Diego)</v>
      </c>
    </row>
    <row r="237" spans="1:12">
      <c r="A237">
        <v>38827</v>
      </c>
      <c r="B237" t="s">
        <v>326</v>
      </c>
      <c r="C237" t="s">
        <v>326</v>
      </c>
      <c r="D237">
        <f t="shared" ref="D237:D268" si="34">LEN(TRIM(C237))-LEN(SUBSTITUTE(C237," ",""))+1</f>
        <v>3</v>
      </c>
      <c r="E237" t="str">
        <f t="shared" ref="E237:E268" si="35">TRIM(RIGHT(SUBSTITUTE(C237," ",REPT(" ",99)),99))</f>
        <v>University</v>
      </c>
      <c r="F237">
        <v>1</v>
      </c>
      <c r="G237" t="s">
        <v>957</v>
      </c>
      <c r="J237" t="str">
        <f>IF(MID(TRIM(G237),LEN(TRIM(G237)),1)="*",TRIM(G237),TRIM(G237)&amp;"*")</f>
        <v>Wake Forest*</v>
      </c>
      <c r="K237" t="str">
        <f t="shared" si="28"/>
        <v>og=(Wake Forest*) OR oo=(Wake Forest*) OR ad=(Wake Forest*)</v>
      </c>
      <c r="L237" t="str">
        <f t="shared" si="29"/>
        <v>og=(Wake Forest*) OR oo=(Wake Forest*) OR ad=(Wake Forest*)</v>
      </c>
    </row>
    <row r="238" spans="1:12">
      <c r="A238">
        <v>38877</v>
      </c>
      <c r="B238" t="s">
        <v>154</v>
      </c>
      <c r="C238" t="s">
        <v>154</v>
      </c>
      <c r="D238">
        <f t="shared" si="34"/>
        <v>3</v>
      </c>
      <c r="E238" t="str">
        <f t="shared" si="35"/>
        <v>University</v>
      </c>
      <c r="F238">
        <v>1</v>
      </c>
      <c r="G238" t="s">
        <v>953</v>
      </c>
      <c r="J238" t="str">
        <f>IF(MID(TRIM(G238),LEN(TRIM(G238)),1)="*",TRIM(G238),TRIM(G238)&amp;"*")</f>
        <v>Iowa State*</v>
      </c>
      <c r="K238" t="str">
        <f t="shared" si="28"/>
        <v>og=(Iowa State*) OR oo=(Iowa State*) OR ad=(Iowa State*)</v>
      </c>
      <c r="L238" t="str">
        <f t="shared" si="29"/>
        <v>og=(Iowa State*) OR oo=(Iowa State*) OR ad=(Iowa State*)</v>
      </c>
    </row>
    <row r="239" spans="1:12">
      <c r="A239">
        <v>38877</v>
      </c>
      <c r="B239" t="s">
        <v>518</v>
      </c>
      <c r="C239" t="s">
        <v>518</v>
      </c>
      <c r="D239">
        <f t="shared" si="34"/>
        <v>4</v>
      </c>
      <c r="E239" t="str">
        <f t="shared" si="35"/>
        <v>University</v>
      </c>
      <c r="F239">
        <v>1</v>
      </c>
      <c r="G239" t="s">
        <v>963</v>
      </c>
      <c r="J239" t="str">
        <f>IF(MID(TRIM(G239),LEN(TRIM(G239)),1)="*",TRIM(G239),TRIM(G239)&amp;"*")</f>
        <v>North Dakota State*</v>
      </c>
      <c r="K239" t="str">
        <f t="shared" si="28"/>
        <v>og=(North Dakota State*) OR oo=(North Dakota State*) OR ad=(North Dakota State*)</v>
      </c>
      <c r="L239" t="str">
        <f t="shared" si="29"/>
        <v>og=(North Dakota State*) OR oo=(North Dakota State*) OR ad=(North Dakota State*)</v>
      </c>
    </row>
    <row r="240" spans="1:12">
      <c r="A240">
        <v>38877</v>
      </c>
      <c r="B240" t="s">
        <v>530</v>
      </c>
      <c r="C240" t="s">
        <v>530</v>
      </c>
      <c r="D240">
        <f t="shared" si="34"/>
        <v>4</v>
      </c>
      <c r="E240" t="str">
        <f t="shared" si="35"/>
        <v>Iowa</v>
      </c>
      <c r="F240">
        <v>3</v>
      </c>
      <c r="G240" t="s">
        <v>855</v>
      </c>
      <c r="J240" t="str">
        <f>IF(MID(TRIM(G240),LEN(TRIM(G240)),1)="*",TRIM(G240),TRIM(G240)&amp;"*")</f>
        <v>univ* Northern Iowa*</v>
      </c>
      <c r="K240" t="str">
        <f t="shared" si="28"/>
        <v>og=(univ* Northern Iowa*) OR oo=(univ* Northern Iowa*) OR ad=(univ* Northern Iowa*)</v>
      </c>
      <c r="L240" t="str">
        <f t="shared" si="29"/>
        <v>og=(univ* Northern Iowa*) OR oo=(univ* Northern Iowa*) OR ad=(univ* Northern Iowa*)</v>
      </c>
    </row>
    <row r="241" spans="1:12">
      <c r="A241">
        <v>38877</v>
      </c>
      <c r="B241" t="s">
        <v>529</v>
      </c>
      <c r="C241" t="s">
        <v>383</v>
      </c>
      <c r="D241">
        <f t="shared" si="34"/>
        <v>4</v>
      </c>
      <c r="E241" t="str">
        <f t="shared" si="35"/>
        <v>Madison</v>
      </c>
      <c r="F241" t="s">
        <v>1036</v>
      </c>
      <c r="G241" t="s">
        <v>840</v>
      </c>
      <c r="H241" t="str">
        <f>TRIM(LEFT(SUBSTITUTE(G241,",",REPT(" ",99)),99))</f>
        <v>univ* Wisconsin</v>
      </c>
      <c r="I241" t="str">
        <f>TRIM(RIGHT(SUBSTITUTE(C241,",",REPT(" ",99)),99))</f>
        <v>Madison</v>
      </c>
      <c r="J241" t="str">
        <f>IF(MID(TRIM(H241),LEN(TRIM(H241)),1)="*",TRIM(H241),TRIM(H241)&amp;"*")</f>
        <v>univ* Wisconsin*</v>
      </c>
      <c r="K241" t="str">
        <f t="shared" si="28"/>
        <v>og=(univ* Wisconsin*) OR oo=(univ* Wisconsin*) OR ad=(univ* Wisconsin*)</v>
      </c>
      <c r="L241" t="str">
        <f t="shared" si="29"/>
        <v>(og=(univ* Wisconsin*) OR oo=(univ* Wisconsin*) OR ad=(univ* Wisconsin*)) AND ad=(Madison)</v>
      </c>
    </row>
    <row r="242" spans="1:12">
      <c r="A242">
        <v>38915</v>
      </c>
      <c r="B242" t="s">
        <v>28</v>
      </c>
      <c r="C242" t="s">
        <v>28</v>
      </c>
      <c r="D242">
        <f t="shared" si="34"/>
        <v>4</v>
      </c>
      <c r="E242" t="str">
        <f t="shared" si="35"/>
        <v>University</v>
      </c>
      <c r="F242">
        <v>1</v>
      </c>
      <c r="G242" t="s">
        <v>958</v>
      </c>
      <c r="J242" t="str">
        <f t="shared" ref="J242:J258" si="36">IF(MID(TRIM(G242),LEN(TRIM(G242)),1)="*",TRIM(G242),TRIM(G242)&amp;"*")</f>
        <v>Bowling Green State*</v>
      </c>
      <c r="K242" t="str">
        <f t="shared" si="28"/>
        <v>og=(Bowling Green State*) OR oo=(Bowling Green State*) OR ad=(Bowling Green State*)</v>
      </c>
      <c r="L242" t="str">
        <f t="shared" si="29"/>
        <v>og=(Bowling Green State*) OR oo=(Bowling Green State*) OR ad=(Bowling Green State*)</v>
      </c>
    </row>
    <row r="243" spans="1:12">
      <c r="A243">
        <v>38915</v>
      </c>
      <c r="B243" t="s">
        <v>391</v>
      </c>
      <c r="C243" t="s">
        <v>391</v>
      </c>
      <c r="D243">
        <f t="shared" si="34"/>
        <v>3</v>
      </c>
      <c r="E243" t="str">
        <f t="shared" si="35"/>
        <v>Sydney</v>
      </c>
      <c r="F243">
        <v>3</v>
      </c>
      <c r="G243" t="s">
        <v>856</v>
      </c>
      <c r="J243" t="str">
        <f t="shared" si="36"/>
        <v>univ* Sydney*</v>
      </c>
      <c r="K243" t="str">
        <f t="shared" si="28"/>
        <v>og=(univ* Sydney*) OR oo=(univ* Sydney*) OR ad=(univ* Sydney*)</v>
      </c>
      <c r="L243" t="str">
        <f t="shared" si="29"/>
        <v>og=(univ* Sydney*) OR oo=(univ* Sydney*) OR ad=(univ* Sydney*)</v>
      </c>
    </row>
    <row r="244" spans="1:12">
      <c r="A244">
        <v>39256</v>
      </c>
      <c r="B244" t="s">
        <v>163</v>
      </c>
      <c r="C244" t="s">
        <v>163</v>
      </c>
      <c r="D244">
        <f t="shared" si="34"/>
        <v>3</v>
      </c>
      <c r="E244" t="str">
        <f t="shared" si="35"/>
        <v>University</v>
      </c>
      <c r="F244">
        <v>1</v>
      </c>
      <c r="G244" t="s">
        <v>980</v>
      </c>
      <c r="J244" t="str">
        <f t="shared" si="36"/>
        <v>Kansas State*</v>
      </c>
      <c r="K244" t="str">
        <f t="shared" si="28"/>
        <v>og=(Kansas State*) OR oo=(Kansas State*) OR ad=(Kansas State*)</v>
      </c>
      <c r="L244" t="str">
        <f t="shared" si="29"/>
        <v>og=(Kansas State*) OR oo=(Kansas State*) OR ad=(Kansas State*)</v>
      </c>
    </row>
    <row r="245" spans="1:12">
      <c r="A245">
        <v>39256</v>
      </c>
      <c r="B245" t="s">
        <v>253</v>
      </c>
      <c r="C245" t="s">
        <v>253</v>
      </c>
      <c r="D245">
        <f t="shared" si="34"/>
        <v>3</v>
      </c>
      <c r="E245" t="str">
        <f t="shared" si="35"/>
        <v>University</v>
      </c>
      <c r="F245">
        <v>1</v>
      </c>
      <c r="G245" t="s">
        <v>981</v>
      </c>
      <c r="J245" t="str">
        <f t="shared" si="36"/>
        <v>Texas Woman's*</v>
      </c>
      <c r="K245" t="str">
        <f t="shared" si="28"/>
        <v>og=(Texas Woman's*) OR oo=(Texas Woman's*) OR ad=(Texas Woman's*)</v>
      </c>
      <c r="L245" t="str">
        <f t="shared" si="29"/>
        <v>og=(Texas Woman's*) OR oo=(Texas Woman's*) OR ad=(Texas Woman's*)</v>
      </c>
    </row>
    <row r="246" spans="1:12">
      <c r="A246">
        <v>39342</v>
      </c>
      <c r="B246" t="s">
        <v>255</v>
      </c>
      <c r="C246" s="5" t="s">
        <v>536</v>
      </c>
      <c r="D246">
        <f t="shared" si="34"/>
        <v>3</v>
      </c>
      <c r="E246" t="str">
        <f t="shared" si="35"/>
        <v>Alabama</v>
      </c>
      <c r="F246">
        <v>3</v>
      </c>
      <c r="G246" s="5" t="s">
        <v>814</v>
      </c>
      <c r="H246" s="5"/>
      <c r="I246" s="5"/>
      <c r="J246" t="str">
        <f t="shared" si="36"/>
        <v>univ* Alabama*</v>
      </c>
      <c r="K246" t="str">
        <f t="shared" si="28"/>
        <v>og=(univ* Alabama*) OR oo=(univ* Alabama*) OR ad=(univ* Alabama*)</v>
      </c>
      <c r="L246" t="str">
        <f t="shared" si="29"/>
        <v>og=(univ* Alabama*) OR oo=(univ* Alabama*) OR ad=(univ* Alabama*)</v>
      </c>
    </row>
    <row r="247" spans="1:12">
      <c r="A247">
        <v>39342</v>
      </c>
      <c r="B247" t="s">
        <v>340</v>
      </c>
      <c r="C247" t="s">
        <v>340</v>
      </c>
      <c r="D247">
        <f t="shared" si="34"/>
        <v>2</v>
      </c>
      <c r="E247" t="str">
        <f t="shared" si="35"/>
        <v>University</v>
      </c>
      <c r="F247">
        <v>1</v>
      </c>
      <c r="G247" t="s">
        <v>932</v>
      </c>
      <c r="J247" t="str">
        <f t="shared" si="36"/>
        <v>Yale*</v>
      </c>
      <c r="K247" t="str">
        <f t="shared" si="28"/>
        <v>og=(Yale*) OR oo=(Yale*) OR ad=(Yale*)</v>
      </c>
      <c r="L247" t="str">
        <f t="shared" si="29"/>
        <v>og=(Yale*) OR oo=(Yale*) OR ad=(Yale*)</v>
      </c>
    </row>
    <row r="248" spans="1:12">
      <c r="A248" s="3">
        <v>39342</v>
      </c>
      <c r="B248" s="3" t="s">
        <v>628</v>
      </c>
      <c r="C248" s="3" t="s">
        <v>527</v>
      </c>
      <c r="D248">
        <f t="shared" si="34"/>
        <v>2</v>
      </c>
      <c r="E248" t="str">
        <f t="shared" si="35"/>
        <v>University</v>
      </c>
      <c r="F248">
        <v>1</v>
      </c>
      <c r="G248" s="3" t="s">
        <v>978</v>
      </c>
      <c r="H248" s="3"/>
      <c r="I248" s="3"/>
      <c r="J248" t="str">
        <f t="shared" si="36"/>
        <v>Yeshiva*</v>
      </c>
      <c r="K248" t="str">
        <f t="shared" si="28"/>
        <v>og=(Yeshiva*) OR oo=(Yeshiva*) OR ad=(Yeshiva*)</v>
      </c>
      <c r="L248" t="str">
        <f t="shared" si="29"/>
        <v>og=(Yeshiva*) OR oo=(Yeshiva*) OR ad=(Yeshiva*)</v>
      </c>
    </row>
    <row r="249" spans="1:12">
      <c r="A249">
        <v>39369</v>
      </c>
      <c r="B249" t="s">
        <v>420</v>
      </c>
      <c r="C249" t="s">
        <v>420</v>
      </c>
      <c r="D249">
        <f t="shared" si="34"/>
        <v>3</v>
      </c>
      <c r="E249" t="str">
        <f t="shared" si="35"/>
        <v>College</v>
      </c>
      <c r="F249">
        <v>2</v>
      </c>
      <c r="G249" t="s">
        <v>887</v>
      </c>
      <c r="J249" t="str">
        <f t="shared" si="36"/>
        <v>California State*</v>
      </c>
      <c r="K249" t="str">
        <f t="shared" si="28"/>
        <v>og=(California State*) OR oo=(California State*) OR ad=(California State*)</v>
      </c>
      <c r="L249" t="str">
        <f t="shared" si="29"/>
        <v>og=(California State*) OR oo=(California State*) OR ad=(California State*)</v>
      </c>
    </row>
    <row r="250" spans="1:12">
      <c r="A250">
        <v>39369</v>
      </c>
      <c r="B250" t="s">
        <v>107</v>
      </c>
      <c r="C250" t="s">
        <v>107</v>
      </c>
      <c r="D250">
        <f t="shared" si="34"/>
        <v>2</v>
      </c>
      <c r="E250" t="str">
        <f t="shared" si="35"/>
        <v>University</v>
      </c>
      <c r="F250">
        <v>1</v>
      </c>
      <c r="G250" t="s">
        <v>909</v>
      </c>
      <c r="J250" t="str">
        <f t="shared" si="36"/>
        <v>Duke*</v>
      </c>
      <c r="K250" t="str">
        <f t="shared" si="28"/>
        <v>og=(Duke*) OR oo=(Duke*) OR ad=(Duke*)</v>
      </c>
      <c r="L250" t="str">
        <f t="shared" si="29"/>
        <v>og=(Duke*) OR oo=(Duke*) OR ad=(Duke*)</v>
      </c>
    </row>
    <row r="251" spans="1:12">
      <c r="A251">
        <v>39369</v>
      </c>
      <c r="B251" t="s">
        <v>419</v>
      </c>
      <c r="C251" t="s">
        <v>419</v>
      </c>
      <c r="D251">
        <f t="shared" si="34"/>
        <v>2</v>
      </c>
      <c r="E251" t="str">
        <f t="shared" si="35"/>
        <v>College</v>
      </c>
      <c r="F251">
        <v>2</v>
      </c>
      <c r="G251" t="s">
        <v>982</v>
      </c>
      <c r="J251" t="str">
        <f t="shared" si="36"/>
        <v>Greensboro*</v>
      </c>
      <c r="K251" t="str">
        <f t="shared" si="28"/>
        <v>og=(Greensboro*) OR oo=(Greensboro*) OR ad=(Greensboro*)</v>
      </c>
      <c r="L251" t="str">
        <f t="shared" si="29"/>
        <v>og=(Greensboro*) OR oo=(Greensboro*) OR ad=(Greensboro*)</v>
      </c>
    </row>
    <row r="252" spans="1:12">
      <c r="A252">
        <v>39369</v>
      </c>
      <c r="B252" t="s">
        <v>276</v>
      </c>
      <c r="C252" t="s">
        <v>276</v>
      </c>
      <c r="D252">
        <f t="shared" si="34"/>
        <v>3</v>
      </c>
      <c r="E252" t="str">
        <f t="shared" si="35"/>
        <v>Florida</v>
      </c>
      <c r="F252">
        <v>3</v>
      </c>
      <c r="G252" t="s">
        <v>815</v>
      </c>
      <c r="J252" t="str">
        <f t="shared" si="36"/>
        <v>univ* Florida*</v>
      </c>
      <c r="K252" t="str">
        <f t="shared" si="28"/>
        <v>og=(univ* Florida*) OR oo=(univ* Florida*) OR ad=(univ* Florida*)</v>
      </c>
      <c r="L252" t="str">
        <f t="shared" si="29"/>
        <v>og=(univ* Florida*) OR oo=(univ* Florida*) OR ad=(univ* Florida*)</v>
      </c>
    </row>
    <row r="253" spans="1:12">
      <c r="A253">
        <v>39369</v>
      </c>
      <c r="B253" t="s">
        <v>303</v>
      </c>
      <c r="C253" t="s">
        <v>303</v>
      </c>
      <c r="D253">
        <f t="shared" si="34"/>
        <v>4</v>
      </c>
      <c r="E253" t="str">
        <f t="shared" si="35"/>
        <v>Florida</v>
      </c>
      <c r="F253">
        <v>3</v>
      </c>
      <c r="G253" t="s">
        <v>834</v>
      </c>
      <c r="J253" t="str">
        <f t="shared" si="36"/>
        <v>univ* South Florida*</v>
      </c>
      <c r="K253" t="str">
        <f t="shared" si="28"/>
        <v>og=(univ* South Florida*) OR oo=(univ* South Florida*) OR ad=(univ* South Florida*)</v>
      </c>
      <c r="L253" t="str">
        <f t="shared" si="29"/>
        <v>og=(univ* South Florida*) OR oo=(univ* South Florida*) OR ad=(univ* South Florida*)</v>
      </c>
    </row>
    <row r="254" spans="1:12">
      <c r="A254">
        <v>39389</v>
      </c>
      <c r="B254" t="s">
        <v>136</v>
      </c>
      <c r="C254" t="s">
        <v>136</v>
      </c>
      <c r="D254">
        <f t="shared" si="34"/>
        <v>3</v>
      </c>
      <c r="E254" t="str">
        <f t="shared" si="35"/>
        <v>University</v>
      </c>
      <c r="F254">
        <v>1</v>
      </c>
      <c r="G254" t="s">
        <v>983</v>
      </c>
      <c r="J254" t="str">
        <f t="shared" si="36"/>
        <v>Georgia State*</v>
      </c>
      <c r="K254" t="str">
        <f t="shared" si="28"/>
        <v>og=(Georgia State*) OR oo=(Georgia State*) OR ad=(Georgia State*)</v>
      </c>
      <c r="L254" t="str">
        <f t="shared" si="29"/>
        <v>og=(Georgia State*) OR oo=(Georgia State*) OR ad=(Georgia State*)</v>
      </c>
    </row>
    <row r="255" spans="1:12">
      <c r="A255">
        <v>39389</v>
      </c>
      <c r="B255" t="s">
        <v>630</v>
      </c>
      <c r="C255" t="s">
        <v>162</v>
      </c>
      <c r="D255">
        <f t="shared" si="34"/>
        <v>3</v>
      </c>
      <c r="E255" t="str">
        <f t="shared" si="35"/>
        <v>University</v>
      </c>
      <c r="F255">
        <v>1</v>
      </c>
      <c r="G255" t="s">
        <v>984</v>
      </c>
      <c r="J255" t="str">
        <f t="shared" si="36"/>
        <v>Johns Hopkins*</v>
      </c>
      <c r="K255" t="str">
        <f t="shared" si="28"/>
        <v>og=(Johns Hopkins*) OR oo=(Johns Hopkins*) OR ad=(Johns Hopkins*)</v>
      </c>
      <c r="L255" t="str">
        <f t="shared" si="29"/>
        <v>og=(Johns Hopkins*) OR oo=(Johns Hopkins*) OR ad=(Johns Hopkins*)</v>
      </c>
    </row>
    <row r="256" spans="1:12">
      <c r="A256">
        <v>40527</v>
      </c>
      <c r="B256" t="s">
        <v>533</v>
      </c>
      <c r="C256" t="s">
        <v>533</v>
      </c>
      <c r="D256">
        <f t="shared" si="34"/>
        <v>2</v>
      </c>
      <c r="E256" t="str">
        <f t="shared" si="35"/>
        <v>University</v>
      </c>
      <c r="F256">
        <v>1</v>
      </c>
      <c r="G256" t="s">
        <v>985</v>
      </c>
      <c r="J256" t="str">
        <f t="shared" si="36"/>
        <v>Monash*</v>
      </c>
      <c r="K256" t="str">
        <f t="shared" si="28"/>
        <v>og=(Monash*) OR oo=(Monash*) OR ad=(Monash*)</v>
      </c>
      <c r="L256" t="str">
        <f t="shared" si="29"/>
        <v>og=(Monash*) OR oo=(Monash*) OR ad=(Monash*)</v>
      </c>
    </row>
    <row r="257" spans="1:12">
      <c r="A257">
        <v>40527</v>
      </c>
      <c r="B257" t="s">
        <v>534</v>
      </c>
      <c r="C257" t="s">
        <v>534</v>
      </c>
      <c r="D257">
        <f t="shared" si="34"/>
        <v>4</v>
      </c>
      <c r="E257" t="str">
        <f t="shared" si="35"/>
        <v>Belfast</v>
      </c>
      <c r="F257">
        <v>0</v>
      </c>
      <c r="G257" t="s">
        <v>534</v>
      </c>
      <c r="J257" t="str">
        <f t="shared" si="36"/>
        <v>Queen's University of Belfast*</v>
      </c>
      <c r="K257" t="str">
        <f t="shared" si="28"/>
        <v>og=(Queen's University of Belfast*) OR oo=(Queen's University of Belfast*) OR ad=(Queen's University of Belfast*)</v>
      </c>
      <c r="L257" t="str">
        <f t="shared" si="29"/>
        <v>og=(Queen's University of Belfast*) OR oo=(Queen's University of Belfast*) OR ad=(Queen's University of Belfast*)</v>
      </c>
    </row>
    <row r="258" spans="1:12">
      <c r="A258">
        <v>40527</v>
      </c>
      <c r="B258" t="s">
        <v>532</v>
      </c>
      <c r="C258" t="s">
        <v>532</v>
      </c>
      <c r="D258">
        <f t="shared" si="34"/>
        <v>4</v>
      </c>
      <c r="E258" t="str">
        <f t="shared" si="35"/>
        <v>Australia</v>
      </c>
      <c r="F258">
        <v>3</v>
      </c>
      <c r="G258" t="s">
        <v>857</v>
      </c>
      <c r="J258" t="str">
        <f t="shared" si="36"/>
        <v>univ* Western Australia*</v>
      </c>
      <c r="K258" t="str">
        <f t="shared" ref="K258:K321" si="37">"og=("&amp;J258&amp;") OR oo=("&amp;J258&amp;") OR ad=("&amp;J258&amp;")"</f>
        <v>og=(univ* Western Australia*) OR oo=(univ* Western Australia*) OR ad=(univ* Western Australia*)</v>
      </c>
      <c r="L258" t="str">
        <f t="shared" ref="L258:L321" si="38">IF(I258="",K258,"(" &amp; K258 &amp; ") AND ad=(" &amp; I258 &amp; ")")</f>
        <v>og=(univ* Western Australia*) OR oo=(univ* Western Australia*) OR ad=(univ* Western Australia*)</v>
      </c>
    </row>
    <row r="259" spans="1:12">
      <c r="A259">
        <v>40527</v>
      </c>
      <c r="B259" t="s">
        <v>531</v>
      </c>
      <c r="C259" t="s">
        <v>715</v>
      </c>
      <c r="D259">
        <f t="shared" si="34"/>
        <v>4</v>
      </c>
      <c r="E259" t="str">
        <f t="shared" si="35"/>
        <v>Milwaukee</v>
      </c>
      <c r="F259" t="s">
        <v>1036</v>
      </c>
      <c r="G259" t="s">
        <v>858</v>
      </c>
      <c r="H259" t="str">
        <f>TRIM(LEFT(SUBSTITUTE(G259,",",REPT(" ",99)),99))</f>
        <v>univ* Wisconsin</v>
      </c>
      <c r="I259" t="str">
        <f>TRIM(RIGHT(SUBSTITUTE(C259,",",REPT(" ",99)),99))</f>
        <v>Milwaukee</v>
      </c>
      <c r="J259" t="str">
        <f>IF(MID(TRIM(H259),LEN(TRIM(H259)),1)="*",TRIM(H259),TRIM(H259)&amp;"*")</f>
        <v>univ* Wisconsin*</v>
      </c>
      <c r="K259" t="str">
        <f t="shared" si="37"/>
        <v>og=(univ* Wisconsin*) OR oo=(univ* Wisconsin*) OR ad=(univ* Wisconsin*)</v>
      </c>
      <c r="L259" t="str">
        <f t="shared" si="38"/>
        <v>(og=(univ* Wisconsin*) OR oo=(univ* Wisconsin*) OR ad=(univ* Wisconsin*)) AND ad=(Milwaukee)</v>
      </c>
    </row>
    <row r="260" spans="1:12">
      <c r="A260">
        <v>41196</v>
      </c>
      <c r="B260" t="s">
        <v>538</v>
      </c>
      <c r="C260" t="s">
        <v>538</v>
      </c>
      <c r="D260">
        <f t="shared" si="34"/>
        <v>2</v>
      </c>
      <c r="E260" t="str">
        <f t="shared" si="35"/>
        <v>University</v>
      </c>
      <c r="F260">
        <v>1</v>
      </c>
      <c r="G260" t="s">
        <v>986</v>
      </c>
      <c r="J260" t="str">
        <f>IF(MID(TRIM(G260),LEN(TRIM(G260)),1)="*",TRIM(G260),TRIM(G260)&amp;"*")</f>
        <v>Nanchang*</v>
      </c>
      <c r="K260" t="str">
        <f t="shared" si="37"/>
        <v>og=(Nanchang*) OR oo=(Nanchang*) OR ad=(Nanchang*)</v>
      </c>
      <c r="L260" t="str">
        <f t="shared" si="38"/>
        <v>og=(Nanchang*) OR oo=(Nanchang*) OR ad=(Nanchang*)</v>
      </c>
    </row>
    <row r="261" spans="1:12">
      <c r="A261">
        <v>41196</v>
      </c>
      <c r="B261" t="s">
        <v>537</v>
      </c>
      <c r="C261" t="s">
        <v>537</v>
      </c>
      <c r="D261">
        <f t="shared" si="34"/>
        <v>2</v>
      </c>
      <c r="E261" t="str">
        <f t="shared" si="35"/>
        <v>University</v>
      </c>
      <c r="F261">
        <v>1</v>
      </c>
      <c r="G261" t="s">
        <v>987</v>
      </c>
      <c r="J261" t="str">
        <f>IF(MID(TRIM(G261),LEN(TRIM(G261)),1)="*",TRIM(G261),TRIM(G261)&amp;"*")</f>
        <v>Nankai*</v>
      </c>
      <c r="K261" t="str">
        <f t="shared" si="37"/>
        <v>og=(Nankai*) OR oo=(Nankai*) OR ad=(Nankai*)</v>
      </c>
      <c r="L261" t="str">
        <f t="shared" si="38"/>
        <v>og=(Nankai*) OR oo=(Nankai*) OR ad=(Nankai*)</v>
      </c>
    </row>
    <row r="262" spans="1:12">
      <c r="A262">
        <v>41196</v>
      </c>
      <c r="B262" t="s">
        <v>536</v>
      </c>
      <c r="C262" t="s">
        <v>536</v>
      </c>
      <c r="D262">
        <f t="shared" si="34"/>
        <v>3</v>
      </c>
      <c r="E262" t="str">
        <f t="shared" si="35"/>
        <v>Alabama</v>
      </c>
      <c r="F262">
        <v>3</v>
      </c>
      <c r="G262" t="s">
        <v>814</v>
      </c>
      <c r="J262" t="str">
        <f>IF(MID(TRIM(G262),LEN(TRIM(G262)),1)="*",TRIM(G262),TRIM(G262)&amp;"*")</f>
        <v>univ* Alabama*</v>
      </c>
      <c r="K262" t="str">
        <f t="shared" si="37"/>
        <v>og=(univ* Alabama*) OR oo=(univ* Alabama*) OR ad=(univ* Alabama*)</v>
      </c>
      <c r="L262" t="str">
        <f t="shared" si="38"/>
        <v>og=(univ* Alabama*) OR oo=(univ* Alabama*) OR ad=(univ* Alabama*)</v>
      </c>
    </row>
    <row r="263" spans="1:12">
      <c r="A263">
        <v>41196</v>
      </c>
      <c r="B263" t="s">
        <v>587</v>
      </c>
      <c r="C263" t="s">
        <v>458</v>
      </c>
      <c r="D263">
        <f t="shared" si="34"/>
        <v>5</v>
      </c>
      <c r="E263" t="str">
        <f t="shared" si="35"/>
        <v>Barbara</v>
      </c>
      <c r="F263" t="s">
        <v>1036</v>
      </c>
      <c r="G263" t="s">
        <v>838</v>
      </c>
      <c r="H263" t="str">
        <f>TRIM(LEFT(SUBSTITUTE(G263,",",REPT(" ",99)),99))</f>
        <v>univ* California</v>
      </c>
      <c r="I263" t="str">
        <f>TRIM(RIGHT(SUBSTITUTE(C263,",",REPT(" ",99)),99))</f>
        <v>Santa Barbara</v>
      </c>
      <c r="J263" t="str">
        <f>IF(MID(TRIM(H263),LEN(TRIM(H263)),1)="*",TRIM(H263),TRIM(H263)&amp;"*")</f>
        <v>univ* California*</v>
      </c>
      <c r="K263" t="str">
        <f t="shared" si="37"/>
        <v>og=(univ* California*) OR oo=(univ* California*) OR ad=(univ* California*)</v>
      </c>
      <c r="L263" t="str">
        <f t="shared" si="38"/>
        <v>(og=(univ* California*) OR oo=(univ* California*) OR ad=(univ* California*)) AND ad=(Santa Barbara)</v>
      </c>
    </row>
    <row r="264" spans="1:12">
      <c r="A264">
        <v>41196</v>
      </c>
      <c r="B264" t="s">
        <v>269</v>
      </c>
      <c r="C264" t="s">
        <v>269</v>
      </c>
      <c r="D264">
        <f t="shared" si="34"/>
        <v>3</v>
      </c>
      <c r="E264" t="str">
        <f t="shared" si="35"/>
        <v>Chicago</v>
      </c>
      <c r="F264">
        <v>3</v>
      </c>
      <c r="G264" t="s">
        <v>826</v>
      </c>
      <c r="J264" t="str">
        <f>IF(MID(TRIM(G264),LEN(TRIM(G264)),1)="*",TRIM(G264),TRIM(G264)&amp;"*")</f>
        <v>univ* Chicago*</v>
      </c>
      <c r="K264" t="str">
        <f t="shared" si="37"/>
        <v>og=(univ* Chicago*) OR oo=(univ* Chicago*) OR ad=(univ* Chicago*)</v>
      </c>
      <c r="L264" t="str">
        <f t="shared" si="38"/>
        <v>og=(univ* Chicago*) OR oo=(univ* Chicago*) OR ad=(univ* Chicago*)</v>
      </c>
    </row>
    <row r="265" spans="1:12">
      <c r="A265">
        <v>41196</v>
      </c>
      <c r="B265" t="s">
        <v>449</v>
      </c>
      <c r="C265" t="s">
        <v>449</v>
      </c>
      <c r="D265">
        <f t="shared" si="34"/>
        <v>3</v>
      </c>
      <c r="E265" t="str">
        <f t="shared" si="35"/>
        <v>Michigan</v>
      </c>
      <c r="F265">
        <v>3</v>
      </c>
      <c r="G265" t="s">
        <v>859</v>
      </c>
      <c r="J265" t="str">
        <f>IF(MID(TRIM(G265),LEN(TRIM(G265)),1)="*",TRIM(G265),TRIM(G265)&amp;"*")</f>
        <v>univ* Michigan*</v>
      </c>
      <c r="K265" t="str">
        <f t="shared" si="37"/>
        <v>og=(univ* Michigan*) OR oo=(univ* Michigan*) OR ad=(univ* Michigan*)</v>
      </c>
      <c r="L265" t="str">
        <f t="shared" si="38"/>
        <v>og=(univ* Michigan*) OR oo=(univ* Michigan*) OR ad=(univ* Michigan*)</v>
      </c>
    </row>
    <row r="266" spans="1:12">
      <c r="A266">
        <v>41196</v>
      </c>
      <c r="B266" t="s">
        <v>539</v>
      </c>
      <c r="C266" t="s">
        <v>539</v>
      </c>
      <c r="D266">
        <f t="shared" si="34"/>
        <v>4</v>
      </c>
      <c r="E266" t="str">
        <f t="shared" si="35"/>
        <v>Reno</v>
      </c>
      <c r="F266" t="s">
        <v>1036</v>
      </c>
      <c r="G266" t="s">
        <v>860</v>
      </c>
      <c r="H266" t="str">
        <f>TRIM(LEFT(SUBSTITUTE(G266,",",REPT(" ",99)),99))</f>
        <v>univ* Nevada</v>
      </c>
      <c r="I266" t="str">
        <f>TRIM(RIGHT(SUBSTITUTE(C266,",",REPT(" ",99)),99))</f>
        <v>Reno</v>
      </c>
      <c r="J266" t="str">
        <f>IF(MID(TRIM(H266),LEN(TRIM(H266)),1)="*",TRIM(H266),TRIM(H266)&amp;"*")</f>
        <v>univ* Nevada*</v>
      </c>
      <c r="K266" t="str">
        <f t="shared" si="37"/>
        <v>og=(univ* Nevada*) OR oo=(univ* Nevada*) OR ad=(univ* Nevada*)</v>
      </c>
      <c r="L266" t="str">
        <f t="shared" si="38"/>
        <v>(og=(univ* Nevada*) OR oo=(univ* Nevada*) OR ad=(univ* Nevada*)) AND ad=(Reno)</v>
      </c>
    </row>
    <row r="267" spans="1:12">
      <c r="A267">
        <v>41630</v>
      </c>
      <c r="B267" t="s">
        <v>542</v>
      </c>
      <c r="C267" t="s">
        <v>542</v>
      </c>
      <c r="D267">
        <f t="shared" si="34"/>
        <v>5</v>
      </c>
      <c r="E267" t="str">
        <f t="shared" si="35"/>
        <v>Co</v>
      </c>
      <c r="F267">
        <v>0</v>
      </c>
      <c r="G267" t="s">
        <v>542</v>
      </c>
      <c r="J267" t="str">
        <f t="shared" ref="J267:J276" si="39">IF(MID(TRIM(G267),LEN(TRIM(G267)),1)="*",TRIM(G267),TRIM(G267)&amp;"*")</f>
        <v>Exxon Research &amp; Engineering Co*</v>
      </c>
      <c r="K267" t="str">
        <f t="shared" si="37"/>
        <v>og=(Exxon Research &amp; Engineering Co*) OR oo=(Exxon Research &amp; Engineering Co*) OR ad=(Exxon Research &amp; Engineering Co*)</v>
      </c>
      <c r="L267" t="str">
        <f t="shared" si="38"/>
        <v>og=(Exxon Research &amp; Engineering Co*) OR oo=(Exxon Research &amp; Engineering Co*) OR ad=(Exxon Research &amp; Engineering Co*)</v>
      </c>
    </row>
    <row r="268" spans="1:12">
      <c r="A268">
        <v>41630</v>
      </c>
      <c r="B268" t="s">
        <v>201</v>
      </c>
      <c r="C268" t="s">
        <v>201</v>
      </c>
      <c r="D268">
        <f t="shared" si="34"/>
        <v>2</v>
      </c>
      <c r="E268" t="str">
        <f t="shared" si="35"/>
        <v>University</v>
      </c>
      <c r="F268">
        <v>1</v>
      </c>
      <c r="G268" t="s">
        <v>965</v>
      </c>
      <c r="J268" t="str">
        <f t="shared" si="39"/>
        <v>Purdue*</v>
      </c>
      <c r="K268" t="str">
        <f t="shared" si="37"/>
        <v>og=(Purdue*) OR oo=(Purdue*) OR ad=(Purdue*)</v>
      </c>
      <c r="L268" t="str">
        <f t="shared" si="38"/>
        <v>og=(Purdue*) OR oo=(Purdue*) OR ad=(Purdue*)</v>
      </c>
    </row>
    <row r="269" spans="1:12">
      <c r="A269">
        <v>41630</v>
      </c>
      <c r="B269" t="s">
        <v>277</v>
      </c>
      <c r="C269" t="s">
        <v>277</v>
      </c>
      <c r="D269">
        <f t="shared" ref="D269:D300" si="40">LEN(TRIM(C269))-LEN(SUBSTITUTE(C269," ",""))+1</f>
        <v>3</v>
      </c>
      <c r="E269" t="str">
        <f t="shared" ref="E269:E283" si="41">TRIM(RIGHT(SUBSTITUTE(C269," ",REPT(" ",99)),99))</f>
        <v>Georgia</v>
      </c>
      <c r="F269">
        <v>3</v>
      </c>
      <c r="G269" t="s">
        <v>861</v>
      </c>
      <c r="J269" t="str">
        <f t="shared" si="39"/>
        <v>univ* Georgia*</v>
      </c>
      <c r="K269" t="str">
        <f t="shared" si="37"/>
        <v>og=(univ* Georgia*) OR oo=(univ* Georgia*) OR ad=(univ* Georgia*)</v>
      </c>
      <c r="L269" t="str">
        <f t="shared" si="38"/>
        <v>og=(univ* Georgia*) OR oo=(univ* Georgia*) OR ad=(univ* Georgia*)</v>
      </c>
    </row>
    <row r="270" spans="1:12">
      <c r="A270">
        <v>41630</v>
      </c>
      <c r="B270" t="s">
        <v>541</v>
      </c>
      <c r="C270" t="s">
        <v>541</v>
      </c>
      <c r="D270">
        <f t="shared" si="40"/>
        <v>3</v>
      </c>
      <c r="E270" t="str">
        <f t="shared" si="41"/>
        <v>London</v>
      </c>
      <c r="F270">
        <v>3</v>
      </c>
      <c r="G270" t="s">
        <v>862</v>
      </c>
      <c r="J270" t="str">
        <f t="shared" si="39"/>
        <v>univ* London*</v>
      </c>
      <c r="K270" t="str">
        <f t="shared" si="37"/>
        <v>og=(univ* London*) OR oo=(univ* London*) OR ad=(univ* London*)</v>
      </c>
      <c r="L270" t="str">
        <f t="shared" si="38"/>
        <v>og=(univ* London*) OR oo=(univ* London*) OR ad=(univ* London*)</v>
      </c>
    </row>
    <row r="271" spans="1:12">
      <c r="A271">
        <v>42013</v>
      </c>
      <c r="B271" t="s">
        <v>39</v>
      </c>
      <c r="C271" t="s">
        <v>39</v>
      </c>
      <c r="D271">
        <f t="shared" si="40"/>
        <v>3</v>
      </c>
      <c r="E271" t="str">
        <f t="shared" si="41"/>
        <v>College</v>
      </c>
      <c r="F271">
        <v>2</v>
      </c>
      <c r="G271" t="s">
        <v>886</v>
      </c>
      <c r="J271" t="str">
        <f t="shared" si="39"/>
        <v>Bryn Mawr*</v>
      </c>
      <c r="K271" t="str">
        <f t="shared" si="37"/>
        <v>og=(Bryn Mawr*) OR oo=(Bryn Mawr*) OR ad=(Bryn Mawr*)</v>
      </c>
      <c r="L271" t="str">
        <f t="shared" si="38"/>
        <v>og=(Bryn Mawr*) OR oo=(Bryn Mawr*) OR ad=(Bryn Mawr*)</v>
      </c>
    </row>
    <row r="272" spans="1:12">
      <c r="A272">
        <v>42013</v>
      </c>
      <c r="B272" t="s">
        <v>423</v>
      </c>
      <c r="C272" t="s">
        <v>162</v>
      </c>
      <c r="D272">
        <f t="shared" si="40"/>
        <v>3</v>
      </c>
      <c r="E272" t="str">
        <f t="shared" si="41"/>
        <v>University</v>
      </c>
      <c r="F272">
        <v>1</v>
      </c>
      <c r="G272" t="s">
        <v>984</v>
      </c>
      <c r="J272" t="str">
        <f t="shared" si="39"/>
        <v>Johns Hopkins*</v>
      </c>
      <c r="K272" t="str">
        <f t="shared" si="37"/>
        <v>og=(Johns Hopkins*) OR oo=(Johns Hopkins*) OR ad=(Johns Hopkins*)</v>
      </c>
      <c r="L272" t="str">
        <f t="shared" si="38"/>
        <v>og=(Johns Hopkins*) OR oo=(Johns Hopkins*) OR ad=(Johns Hopkins*)</v>
      </c>
    </row>
    <row r="273" spans="1:12">
      <c r="A273">
        <v>42013</v>
      </c>
      <c r="B273" t="s">
        <v>424</v>
      </c>
      <c r="C273" t="s">
        <v>683</v>
      </c>
      <c r="D273">
        <f t="shared" si="40"/>
        <v>2</v>
      </c>
      <c r="E273" t="str">
        <f t="shared" si="41"/>
        <v>University</v>
      </c>
      <c r="F273">
        <v>1</v>
      </c>
      <c r="G273" t="s">
        <v>988</v>
      </c>
      <c r="J273" t="str">
        <f t="shared" si="39"/>
        <v>Kansai*</v>
      </c>
      <c r="K273" t="str">
        <f t="shared" si="37"/>
        <v>og=(Kansai*) OR oo=(Kansai*) OR ad=(Kansai*)</v>
      </c>
      <c r="L273" t="str">
        <f t="shared" si="38"/>
        <v>og=(Kansai*) OR oo=(Kansai*) OR ad=(Kansai*)</v>
      </c>
    </row>
    <row r="274" spans="1:12">
      <c r="A274">
        <v>42013</v>
      </c>
      <c r="B274" t="s">
        <v>426</v>
      </c>
      <c r="C274" t="s">
        <v>426</v>
      </c>
      <c r="D274">
        <f t="shared" si="40"/>
        <v>6</v>
      </c>
      <c r="E274" t="str">
        <f t="shared" si="41"/>
        <v>Technology</v>
      </c>
      <c r="F274">
        <v>0</v>
      </c>
      <c r="G274" t="s">
        <v>426</v>
      </c>
      <c r="J274" t="str">
        <f t="shared" si="39"/>
        <v>Moscow Institute of Physics &amp; Technology*</v>
      </c>
      <c r="K274" t="str">
        <f t="shared" si="37"/>
        <v>og=(Moscow Institute of Physics &amp; Technology*) OR oo=(Moscow Institute of Physics &amp; Technology*) OR ad=(Moscow Institute of Physics &amp; Technology*)</v>
      </c>
      <c r="L274" t="str">
        <f t="shared" si="38"/>
        <v>og=(Moscow Institute of Physics &amp; Technology*) OR oo=(Moscow Institute of Physics &amp; Technology*) OR ad=(Moscow Institute of Physics &amp; Technology*)</v>
      </c>
    </row>
    <row r="275" spans="1:12">
      <c r="A275">
        <v>42013</v>
      </c>
      <c r="B275" t="s">
        <v>422</v>
      </c>
      <c r="C275" t="s">
        <v>422</v>
      </c>
      <c r="D275">
        <f t="shared" si="40"/>
        <v>4</v>
      </c>
      <c r="E275" t="str">
        <f t="shared" si="41"/>
        <v>Laboratory</v>
      </c>
      <c r="F275">
        <v>0</v>
      </c>
      <c r="G275" t="s">
        <v>422</v>
      </c>
      <c r="J275" t="str">
        <f t="shared" si="39"/>
        <v>NASA Space Sciences Laboratory*</v>
      </c>
      <c r="K275" t="str">
        <f t="shared" si="37"/>
        <v>og=(NASA Space Sciences Laboratory*) OR oo=(NASA Space Sciences Laboratory*) OR ad=(NASA Space Sciences Laboratory*)</v>
      </c>
      <c r="L275" t="str">
        <f t="shared" si="38"/>
        <v>og=(NASA Space Sciences Laboratory*) OR oo=(NASA Space Sciences Laboratory*) OR ad=(NASA Space Sciences Laboratory*)</v>
      </c>
    </row>
    <row r="276" spans="1:12">
      <c r="A276">
        <v>42013</v>
      </c>
      <c r="B276" t="s">
        <v>228</v>
      </c>
      <c r="C276" t="s">
        <v>228</v>
      </c>
      <c r="D276">
        <f t="shared" si="40"/>
        <v>2</v>
      </c>
      <c r="E276" t="str">
        <f t="shared" si="41"/>
        <v>University</v>
      </c>
      <c r="F276">
        <v>1</v>
      </c>
      <c r="G276" t="s">
        <v>989</v>
      </c>
      <c r="J276" t="str">
        <f t="shared" si="39"/>
        <v>Stanford*</v>
      </c>
      <c r="K276" t="str">
        <f t="shared" si="37"/>
        <v>og=(Stanford*) OR oo=(Stanford*) OR ad=(Stanford*)</v>
      </c>
      <c r="L276" t="str">
        <f t="shared" si="38"/>
        <v>og=(Stanford*) OR oo=(Stanford*) OR ad=(Stanford*)</v>
      </c>
    </row>
    <row r="277" spans="1:12">
      <c r="A277">
        <v>42013</v>
      </c>
      <c r="B277" t="s">
        <v>421</v>
      </c>
      <c r="C277" s="6" t="s">
        <v>392</v>
      </c>
      <c r="D277">
        <f t="shared" si="40"/>
        <v>4</v>
      </c>
      <c r="E277" t="str">
        <f t="shared" si="41"/>
        <v>Berkeley</v>
      </c>
      <c r="F277" t="s">
        <v>1036</v>
      </c>
      <c r="G277" s="6" t="s">
        <v>816</v>
      </c>
      <c r="H277" t="str">
        <f>TRIM(LEFT(SUBSTITUTE(G277,",",REPT(" ",99)),99))</f>
        <v>univ* California</v>
      </c>
      <c r="I277" t="str">
        <f>TRIM(RIGHT(SUBSTITUTE(C277,",",REPT(" ",99)),99))</f>
        <v>Berkeley</v>
      </c>
      <c r="J277" t="str">
        <f>IF(MID(TRIM(H277),LEN(TRIM(H277)),1)="*",TRIM(H277),TRIM(H277)&amp;"*")</f>
        <v>univ* California*</v>
      </c>
      <c r="K277" t="str">
        <f t="shared" si="37"/>
        <v>og=(univ* California*) OR oo=(univ* California*) OR ad=(univ* California*)</v>
      </c>
      <c r="L277" t="str">
        <f t="shared" si="38"/>
        <v>(og=(univ* California*) OR oo=(univ* California*) OR ad=(univ* California*)) AND ad=(Berkeley)</v>
      </c>
    </row>
    <row r="278" spans="1:12">
      <c r="A278">
        <v>42013</v>
      </c>
      <c r="B278" t="s">
        <v>288</v>
      </c>
      <c r="C278" t="s">
        <v>704</v>
      </c>
      <c r="D278">
        <f t="shared" si="40"/>
        <v>5</v>
      </c>
      <c r="E278" t="str">
        <f t="shared" si="41"/>
        <v>Park</v>
      </c>
      <c r="F278" t="s">
        <v>1036</v>
      </c>
      <c r="G278" t="s">
        <v>818</v>
      </c>
      <c r="H278" t="str">
        <f>TRIM(LEFT(SUBSTITUTE(G278,",",REPT(" ",99)),99))</f>
        <v>univ* Maryland</v>
      </c>
      <c r="I278" t="str">
        <f>TRIM(RIGHT(SUBSTITUTE(C278,",",REPT(" ",99)),99))</f>
        <v>College Park</v>
      </c>
      <c r="J278" t="str">
        <f>IF(MID(TRIM(H278),LEN(TRIM(H278)),1)="*",TRIM(H278),TRIM(H278)&amp;"*")</f>
        <v>univ* Maryland*</v>
      </c>
      <c r="K278" t="str">
        <f t="shared" si="37"/>
        <v>og=(univ* Maryland*) OR oo=(univ* Maryland*) OR ad=(univ* Maryland*)</v>
      </c>
      <c r="L278" t="str">
        <f t="shared" si="38"/>
        <v>(og=(univ* Maryland*) OR oo=(univ* Maryland*) OR ad=(univ* Maryland*)) AND ad=(College Park)</v>
      </c>
    </row>
    <row r="279" spans="1:12">
      <c r="A279">
        <v>42013</v>
      </c>
      <c r="B279" t="s">
        <v>425</v>
      </c>
      <c r="C279" s="6" t="s">
        <v>695</v>
      </c>
      <c r="D279">
        <f t="shared" si="40"/>
        <v>3</v>
      </c>
      <c r="E279" t="str">
        <f t="shared" si="41"/>
        <v>Warwick</v>
      </c>
      <c r="F279">
        <v>3</v>
      </c>
      <c r="G279" s="6" t="s">
        <v>863</v>
      </c>
      <c r="H279" s="6"/>
      <c r="I279" s="6"/>
      <c r="J279" t="str">
        <f>IF(MID(TRIM(G279),LEN(TRIM(G279)),1)="*",TRIM(G279),TRIM(G279)&amp;"*")</f>
        <v>univ* Warwick*</v>
      </c>
      <c r="K279" t="str">
        <f t="shared" si="37"/>
        <v>og=(univ* Warwick*) OR oo=(univ* Warwick*) OR ad=(univ* Warwick*)</v>
      </c>
      <c r="L279" t="str">
        <f t="shared" si="38"/>
        <v>og=(univ* Warwick*) OR oo=(univ* Warwick*) OR ad=(univ* Warwick*)</v>
      </c>
    </row>
    <row r="280" spans="1:12">
      <c r="A280">
        <v>42516</v>
      </c>
      <c r="B280" t="s">
        <v>545</v>
      </c>
      <c r="C280" t="s">
        <v>545</v>
      </c>
      <c r="D280">
        <f t="shared" si="40"/>
        <v>3</v>
      </c>
      <c r="E280" t="str">
        <f t="shared" si="41"/>
        <v>Laboratory</v>
      </c>
      <c r="F280">
        <v>0</v>
      </c>
      <c r="G280" t="s">
        <v>545</v>
      </c>
      <c r="J280" t="str">
        <f>IF(MID(TRIM(G280),LEN(TRIM(G280)),1)="*",TRIM(G280),TRIM(G280)&amp;"*")</f>
        <v>Brookhaven National Laboratory*</v>
      </c>
      <c r="K280" t="str">
        <f t="shared" si="37"/>
        <v>og=(Brookhaven National Laboratory*) OR oo=(Brookhaven National Laboratory*) OR ad=(Brookhaven National Laboratory*)</v>
      </c>
      <c r="L280" t="str">
        <f t="shared" si="38"/>
        <v>og=(Brookhaven National Laboratory*) OR oo=(Brookhaven National Laboratory*) OR ad=(Brookhaven National Laboratory*)</v>
      </c>
    </row>
    <row r="281" spans="1:12">
      <c r="A281">
        <v>42516</v>
      </c>
      <c r="B281" t="s">
        <v>663</v>
      </c>
      <c r="C281" t="s">
        <v>663</v>
      </c>
      <c r="D281">
        <f t="shared" si="40"/>
        <v>4</v>
      </c>
      <c r="E281" t="str">
        <f t="shared" si="41"/>
        <v>Biology</v>
      </c>
      <c r="F281">
        <v>0</v>
      </c>
      <c r="G281" t="s">
        <v>663</v>
      </c>
      <c r="J281" t="str">
        <f>IF(MID(TRIM(G281),LEN(TRIM(G281)),1)="*",TRIM(G281),TRIM(G281)&amp;"*")</f>
        <v>Center for Structural Biology*</v>
      </c>
      <c r="K281" t="str">
        <f t="shared" si="37"/>
        <v>og=(Center for Structural Biology*) OR oo=(Center for Structural Biology*) OR ad=(Center for Structural Biology*)</v>
      </c>
      <c r="L281" t="str">
        <f t="shared" si="38"/>
        <v>og=(Center for Structural Biology*) OR oo=(Center for Structural Biology*) OR ad=(Center for Structural Biology*)</v>
      </c>
    </row>
    <row r="282" spans="1:12">
      <c r="A282">
        <v>42516</v>
      </c>
      <c r="B282" t="s">
        <v>544</v>
      </c>
      <c r="C282" t="s">
        <v>544</v>
      </c>
      <c r="D282">
        <f t="shared" si="40"/>
        <v>4</v>
      </c>
      <c r="E282" t="str">
        <f t="shared" si="41"/>
        <v>Laboratory</v>
      </c>
      <c r="F282">
        <v>0</v>
      </c>
      <c r="G282" t="s">
        <v>544</v>
      </c>
      <c r="J282" t="str">
        <f>IF(MID(TRIM(G282),LEN(TRIM(G282)),1)="*",TRIM(G282),TRIM(G282)&amp;"*")</f>
        <v>Lawrence Berkeley National Laboratory*</v>
      </c>
      <c r="K282" t="str">
        <f t="shared" si="37"/>
        <v>og=(Lawrence Berkeley National Laboratory*) OR oo=(Lawrence Berkeley National Laboratory*) OR ad=(Lawrence Berkeley National Laboratory*)</v>
      </c>
      <c r="L282" t="str">
        <f t="shared" si="38"/>
        <v>og=(Lawrence Berkeley National Laboratory*) OR oo=(Lawrence Berkeley National Laboratory*) OR ad=(Lawrence Berkeley National Laboratory*)</v>
      </c>
    </row>
    <row r="283" spans="1:12">
      <c r="A283">
        <v>42516</v>
      </c>
      <c r="B283" t="s">
        <v>232</v>
      </c>
      <c r="C283" t="s">
        <v>1035</v>
      </c>
      <c r="D283">
        <f t="shared" si="40"/>
        <v>7</v>
      </c>
      <c r="E283" t="str">
        <f t="shared" si="41"/>
        <v>Brook</v>
      </c>
      <c r="F283">
        <v>5</v>
      </c>
      <c r="G283" t="s">
        <v>1035</v>
      </c>
      <c r="H283" t="str">
        <f>TRIM(LEFT(SUBSTITUTE(G283,",",REPT(" ",99)),99))</f>
        <v>State University of New York</v>
      </c>
      <c r="I283" t="str">
        <f>TRIM(RIGHT(SUBSTITUTE(C283,",",REPT(" ",99)),99))</f>
        <v>Stony Brook</v>
      </c>
      <c r="J283" t="str">
        <f>IF(MID(TRIM(H283),LEN(TRIM(H283)),1)="*",TRIM(H283),TRIM(H283)&amp;"*")</f>
        <v>State University of New York*</v>
      </c>
      <c r="K283" t="str">
        <f t="shared" si="37"/>
        <v>og=(State University of New York*) OR oo=(State University of New York*) OR ad=(State University of New York*)</v>
      </c>
      <c r="L283" t="str">
        <f t="shared" si="38"/>
        <v>(og=(State University of New York*) OR oo=(State University of New York*) OR ad=(State University of New York*)) AND ad=(Stony Brook)</v>
      </c>
    </row>
    <row r="284" spans="1:12">
      <c r="A284">
        <v>42516</v>
      </c>
      <c r="B284" t="s">
        <v>232</v>
      </c>
      <c r="C284" t="s">
        <v>1035</v>
      </c>
      <c r="D284">
        <v>4</v>
      </c>
      <c r="E284" t="s">
        <v>803</v>
      </c>
      <c r="F284">
        <v>5</v>
      </c>
      <c r="G284" s="8" t="s">
        <v>1035</v>
      </c>
      <c r="H284" t="s">
        <v>1028</v>
      </c>
      <c r="I284" t="str">
        <f>TRIM(RIGHT(SUBSTITUTE(C284,",",REPT(" ",99)),99))</f>
        <v>Stony Brook</v>
      </c>
      <c r="J284" t="str">
        <f>IF(MID(TRIM(H284),LEN(TRIM(H284)),1)="*",TRIM(H284),TRIM(H284)&amp;"*")</f>
        <v>SUNY*</v>
      </c>
      <c r="K284" t="str">
        <f t="shared" si="37"/>
        <v>og=(SUNY*) OR oo=(SUNY*) OR ad=(SUNY*)</v>
      </c>
      <c r="L284" t="str">
        <f t="shared" si="38"/>
        <v>(og=(SUNY*) OR oo=(SUNY*) OR ad=(SUNY*)) AND ad=(Stony Brook)</v>
      </c>
    </row>
    <row r="285" spans="1:12">
      <c r="A285">
        <v>42516</v>
      </c>
      <c r="B285" t="s">
        <v>633</v>
      </c>
      <c r="C285" t="s">
        <v>711</v>
      </c>
      <c r="D285">
        <f t="shared" ref="D285:D327" si="42">LEN(TRIM(C285))-LEN(SUBSTITUTE(C285," ",""))+1</f>
        <v>6</v>
      </c>
      <c r="E285" t="str">
        <f t="shared" ref="E285:E327" si="43">TRIM(RIGHT(SUBSTITUTE(C285," ",REPT(" ",99)),99))</f>
        <v>Beijing</v>
      </c>
      <c r="F285">
        <v>3</v>
      </c>
      <c r="G285" t="s">
        <v>864</v>
      </c>
      <c r="J285" t="str">
        <f>IF(MID(TRIM(G285),LEN(TRIM(G285)),1)="*",TRIM(G285),TRIM(G285)&amp;"*")</f>
        <v>univ* Science &amp; Technology Beijing*</v>
      </c>
      <c r="K285" t="str">
        <f t="shared" si="37"/>
        <v>og=(univ* Science &amp; Technology Beijing*) OR oo=(univ* Science &amp; Technology Beijing*) OR ad=(univ* Science &amp; Technology Beijing*)</v>
      </c>
      <c r="L285" t="str">
        <f t="shared" si="38"/>
        <v>og=(univ* Science &amp; Technology Beijing*) OR oo=(univ* Science &amp; Technology Beijing*) OR ad=(univ* Science &amp; Technology Beijing*)</v>
      </c>
    </row>
    <row r="286" spans="1:12">
      <c r="A286">
        <v>42516</v>
      </c>
      <c r="B286" t="s">
        <v>519</v>
      </c>
      <c r="C286" t="s">
        <v>519</v>
      </c>
      <c r="D286">
        <f t="shared" si="42"/>
        <v>2</v>
      </c>
      <c r="E286" t="str">
        <f t="shared" si="43"/>
        <v>University</v>
      </c>
      <c r="F286">
        <v>1</v>
      </c>
      <c r="G286" t="s">
        <v>964</v>
      </c>
      <c r="J286" t="str">
        <f>IF(MID(TRIM(G286),LEN(TRIM(G286)),1)="*",TRIM(G286),TRIM(G286)&amp;"*")</f>
        <v>Wuhan*</v>
      </c>
      <c r="K286" t="str">
        <f t="shared" si="37"/>
        <v>og=(Wuhan*) OR oo=(Wuhan*) OR ad=(Wuhan*)</v>
      </c>
      <c r="L286" t="str">
        <f t="shared" si="38"/>
        <v>og=(Wuhan*) OR oo=(Wuhan*) OR ad=(Wuhan*)</v>
      </c>
    </row>
    <row r="287" spans="1:12">
      <c r="A287">
        <v>43490</v>
      </c>
      <c r="B287" t="s">
        <v>172</v>
      </c>
      <c r="C287" t="s">
        <v>172</v>
      </c>
      <c r="D287">
        <f t="shared" si="42"/>
        <v>4</v>
      </c>
      <c r="E287" t="str">
        <f t="shared" si="43"/>
        <v>Technology</v>
      </c>
      <c r="F287">
        <v>0</v>
      </c>
      <c r="G287" t="s">
        <v>172</v>
      </c>
      <c r="J287" t="str">
        <f>IF(MID(TRIM(G287),LEN(TRIM(G287)),1)="*",TRIM(G287),TRIM(G287)&amp;"*")</f>
        <v>Massachusetts Institute of Technology*</v>
      </c>
      <c r="K287" t="str">
        <f t="shared" si="37"/>
        <v>og=(Massachusetts Institute of Technology*) OR oo=(Massachusetts Institute of Technology*) OR ad=(Massachusetts Institute of Technology*)</v>
      </c>
      <c r="L287" t="str">
        <f t="shared" si="38"/>
        <v>og=(Massachusetts Institute of Technology*) OR oo=(Massachusetts Institute of Technology*) OR ad=(Massachusetts Institute of Technology*)</v>
      </c>
    </row>
    <row r="288" spans="1:12">
      <c r="A288">
        <v>43490</v>
      </c>
      <c r="B288" t="s">
        <v>200</v>
      </c>
      <c r="C288" t="s">
        <v>200</v>
      </c>
      <c r="D288">
        <f t="shared" si="42"/>
        <v>2</v>
      </c>
      <c r="E288" t="str">
        <f t="shared" si="43"/>
        <v>University</v>
      </c>
      <c r="F288">
        <v>1</v>
      </c>
      <c r="G288" t="s">
        <v>961</v>
      </c>
      <c r="J288" t="str">
        <f>IF(MID(TRIM(G288),LEN(TRIM(G288)),1)="*",TRIM(G288),TRIM(G288)&amp;"*")</f>
        <v>Princeton*</v>
      </c>
      <c r="K288" t="str">
        <f t="shared" si="37"/>
        <v>og=(Princeton*) OR oo=(Princeton*) OR ad=(Princeton*)</v>
      </c>
      <c r="L288" t="str">
        <f t="shared" si="38"/>
        <v>og=(Princeton*) OR oo=(Princeton*) OR ad=(Princeton*)</v>
      </c>
    </row>
    <row r="289" spans="1:12">
      <c r="A289">
        <v>43490</v>
      </c>
      <c r="B289" t="s">
        <v>381</v>
      </c>
      <c r="C289" t="s">
        <v>381</v>
      </c>
      <c r="D289">
        <f t="shared" si="42"/>
        <v>2</v>
      </c>
      <c r="E289" t="str">
        <f t="shared" si="43"/>
        <v>University</v>
      </c>
      <c r="F289">
        <v>1</v>
      </c>
      <c r="G289" s="8" t="s">
        <v>940</v>
      </c>
      <c r="H289" s="8" t="s">
        <v>1038</v>
      </c>
      <c r="I289" s="8"/>
      <c r="J289" t="str">
        <f>IF(MID(TRIM(H289),LEN(TRIM(H289)),1)="*",TRIM(H289),TRIM(H289)&amp;"*")</f>
        <v>Tshing Hua*</v>
      </c>
      <c r="K289" t="str">
        <f t="shared" si="37"/>
        <v>og=(Tshing Hua*) OR oo=(Tshing Hua*) OR ad=(Tshing Hua*)</v>
      </c>
      <c r="L289" t="str">
        <f t="shared" si="38"/>
        <v>og=(Tshing Hua*) OR oo=(Tshing Hua*) OR ad=(Tshing Hua*)</v>
      </c>
    </row>
    <row r="290" spans="1:12">
      <c r="A290">
        <v>43490</v>
      </c>
      <c r="B290" t="s">
        <v>381</v>
      </c>
      <c r="C290" t="s">
        <v>381</v>
      </c>
      <c r="D290">
        <f t="shared" si="42"/>
        <v>2</v>
      </c>
      <c r="E290" t="str">
        <f t="shared" si="43"/>
        <v>University</v>
      </c>
      <c r="F290">
        <v>1</v>
      </c>
      <c r="G290" t="s">
        <v>940</v>
      </c>
      <c r="J290" t="str">
        <f>IF(MID(TRIM(G290),LEN(TRIM(G290)),1)="*",TRIM(G290),TRIM(G290)&amp;"*")</f>
        <v>Tsinghua*</v>
      </c>
      <c r="K290" t="str">
        <f t="shared" si="37"/>
        <v>og=(Tsinghua*) OR oo=(Tsinghua*) OR ad=(Tsinghua*)</v>
      </c>
      <c r="L290" t="str">
        <f t="shared" si="38"/>
        <v>og=(Tsinghua*) OR oo=(Tsinghua*) OR ad=(Tsinghua*)</v>
      </c>
    </row>
    <row r="291" spans="1:12">
      <c r="A291">
        <v>43490</v>
      </c>
      <c r="B291" t="s">
        <v>273</v>
      </c>
      <c r="C291" t="s">
        <v>273</v>
      </c>
      <c r="D291">
        <f t="shared" si="42"/>
        <v>3</v>
      </c>
      <c r="E291" t="str">
        <f t="shared" si="43"/>
        <v>Connecticut</v>
      </c>
      <c r="F291">
        <v>3</v>
      </c>
      <c r="G291" t="s">
        <v>865</v>
      </c>
      <c r="J291" t="str">
        <f>IF(MID(TRIM(G291),LEN(TRIM(G291)),1)="*",TRIM(G291),TRIM(G291)&amp;"*")</f>
        <v>univ* Connecticut*</v>
      </c>
      <c r="K291" t="str">
        <f t="shared" si="37"/>
        <v>og=(univ* Connecticut*) OR oo=(univ* Connecticut*) OR ad=(univ* Connecticut*)</v>
      </c>
      <c r="L291" t="str">
        <f t="shared" si="38"/>
        <v>og=(univ* Connecticut*) OR oo=(univ* Connecticut*) OR ad=(univ* Connecticut*)</v>
      </c>
    </row>
    <row r="292" spans="1:12">
      <c r="A292">
        <v>43619</v>
      </c>
      <c r="B292" t="s">
        <v>176</v>
      </c>
      <c r="C292" t="s">
        <v>176</v>
      </c>
      <c r="D292">
        <f t="shared" si="42"/>
        <v>3</v>
      </c>
      <c r="E292" t="str">
        <f t="shared" si="43"/>
        <v>University</v>
      </c>
      <c r="F292">
        <v>1</v>
      </c>
      <c r="G292" t="s">
        <v>990</v>
      </c>
      <c r="J292" t="str">
        <f>IF(MID(TRIM(G292),LEN(TRIM(G292)),1)="*",TRIM(G292),TRIM(G292)&amp;"*")</f>
        <v>Michigan Technological*</v>
      </c>
      <c r="K292" t="str">
        <f t="shared" si="37"/>
        <v>og=(Michigan Technological*) OR oo=(Michigan Technological*) OR ad=(Michigan Technological*)</v>
      </c>
      <c r="L292" t="str">
        <f t="shared" si="38"/>
        <v>og=(Michigan Technological*) OR oo=(Michigan Technological*) OR ad=(Michigan Technological*)</v>
      </c>
    </row>
    <row r="293" spans="1:12">
      <c r="A293">
        <v>43619</v>
      </c>
      <c r="B293" t="s">
        <v>427</v>
      </c>
      <c r="C293" t="s">
        <v>427</v>
      </c>
      <c r="D293">
        <f t="shared" si="42"/>
        <v>5</v>
      </c>
      <c r="E293" t="str">
        <f t="shared" si="43"/>
        <v>Engineering</v>
      </c>
      <c r="F293">
        <v>0</v>
      </c>
      <c r="G293" t="s">
        <v>427</v>
      </c>
      <c r="J293" t="str">
        <f>IF(MID(TRIM(G293),LEN(TRIM(G293)),1)="*",TRIM(G293),TRIM(G293)&amp;"*")</f>
        <v>North-West Institute of Architecture Engineering*</v>
      </c>
      <c r="K293" t="str">
        <f t="shared" si="37"/>
        <v>og=(North-West Institute of Architecture Engineering*) OR oo=(North-West Institute of Architecture Engineering*) OR ad=(North-West Institute of Architecture Engineering*)</v>
      </c>
      <c r="L293" t="str">
        <f t="shared" si="38"/>
        <v>og=(North-West Institute of Architecture Engineering*) OR oo=(North-West Institute of Architecture Engineering*) OR ad=(North-West Institute of Architecture Engineering*)</v>
      </c>
    </row>
    <row r="294" spans="1:12">
      <c r="A294">
        <v>43619</v>
      </c>
      <c r="B294" t="s">
        <v>381</v>
      </c>
      <c r="C294" t="s">
        <v>381</v>
      </c>
      <c r="D294">
        <f t="shared" si="42"/>
        <v>2</v>
      </c>
      <c r="E294" t="str">
        <f t="shared" si="43"/>
        <v>University</v>
      </c>
      <c r="F294">
        <v>1</v>
      </c>
      <c r="G294" s="8" t="s">
        <v>940</v>
      </c>
      <c r="H294" s="8" t="s">
        <v>1038</v>
      </c>
      <c r="I294" s="8"/>
      <c r="J294" t="str">
        <f>IF(MID(TRIM(H294),LEN(TRIM(H294)),1)="*",TRIM(H294),TRIM(H294)&amp;"*")</f>
        <v>Tshing Hua*</v>
      </c>
      <c r="K294" t="str">
        <f t="shared" si="37"/>
        <v>og=(Tshing Hua*) OR oo=(Tshing Hua*) OR ad=(Tshing Hua*)</v>
      </c>
      <c r="L294" t="str">
        <f t="shared" si="38"/>
        <v>og=(Tshing Hua*) OR oo=(Tshing Hua*) OR ad=(Tshing Hua*)</v>
      </c>
    </row>
    <row r="295" spans="1:12">
      <c r="A295">
        <v>43619</v>
      </c>
      <c r="B295" t="s">
        <v>381</v>
      </c>
      <c r="C295" t="s">
        <v>381</v>
      </c>
      <c r="D295">
        <f t="shared" si="42"/>
        <v>2</v>
      </c>
      <c r="E295" t="str">
        <f t="shared" si="43"/>
        <v>University</v>
      </c>
      <c r="F295">
        <v>1</v>
      </c>
      <c r="G295" t="s">
        <v>940</v>
      </c>
      <c r="J295" t="str">
        <f t="shared" ref="J295:J300" si="44">IF(MID(TRIM(G295),LEN(TRIM(G295)),1)="*",TRIM(G295),TRIM(G295)&amp;"*")</f>
        <v>Tsinghua*</v>
      </c>
      <c r="K295" t="str">
        <f t="shared" si="37"/>
        <v>og=(Tsinghua*) OR oo=(Tsinghua*) OR ad=(Tsinghua*)</v>
      </c>
      <c r="L295" t="str">
        <f t="shared" si="38"/>
        <v>og=(Tsinghua*) OR oo=(Tsinghua*) OR ad=(Tsinghua*)</v>
      </c>
    </row>
    <row r="296" spans="1:12">
      <c r="A296">
        <v>43619</v>
      </c>
      <c r="B296" t="s">
        <v>303</v>
      </c>
      <c r="C296" t="s">
        <v>303</v>
      </c>
      <c r="D296">
        <f t="shared" si="42"/>
        <v>4</v>
      </c>
      <c r="E296" t="str">
        <f t="shared" si="43"/>
        <v>Florida</v>
      </c>
      <c r="F296">
        <v>3</v>
      </c>
      <c r="G296" t="s">
        <v>834</v>
      </c>
      <c r="J296" t="str">
        <f t="shared" si="44"/>
        <v>univ* South Florida*</v>
      </c>
      <c r="K296" t="str">
        <f t="shared" si="37"/>
        <v>og=(univ* South Florida*) OR oo=(univ* South Florida*) OR ad=(univ* South Florida*)</v>
      </c>
      <c r="L296" t="str">
        <f t="shared" si="38"/>
        <v>og=(univ* South Florida*) OR oo=(univ* South Florida*) OR ad=(univ* South Florida*)</v>
      </c>
    </row>
    <row r="297" spans="1:12">
      <c r="A297">
        <v>43632</v>
      </c>
      <c r="B297" t="s">
        <v>546</v>
      </c>
      <c r="C297" t="s">
        <v>395</v>
      </c>
      <c r="D297">
        <f t="shared" si="42"/>
        <v>4</v>
      </c>
      <c r="E297" t="str">
        <f t="shared" si="43"/>
        <v>Technology</v>
      </c>
      <c r="F297">
        <v>0</v>
      </c>
      <c r="G297" t="s">
        <v>395</v>
      </c>
      <c r="J297" t="str">
        <f t="shared" si="44"/>
        <v>Georgia Institute of Technology*</v>
      </c>
      <c r="K297" t="str">
        <f t="shared" si="37"/>
        <v>og=(Georgia Institute of Technology*) OR oo=(Georgia Institute of Technology*) OR ad=(Georgia Institute of Technology*)</v>
      </c>
      <c r="L297" t="str">
        <f t="shared" si="38"/>
        <v>og=(Georgia Institute of Technology*) OR oo=(Georgia Institute of Technology*) OR ad=(Georgia Institute of Technology*)</v>
      </c>
    </row>
    <row r="298" spans="1:12">
      <c r="A298">
        <v>43632</v>
      </c>
      <c r="B298" t="s">
        <v>162</v>
      </c>
      <c r="C298" t="s">
        <v>162</v>
      </c>
      <c r="D298">
        <f t="shared" si="42"/>
        <v>3</v>
      </c>
      <c r="E298" t="str">
        <f t="shared" si="43"/>
        <v>University</v>
      </c>
      <c r="F298">
        <v>1</v>
      </c>
      <c r="G298" t="s">
        <v>984</v>
      </c>
      <c r="J298" t="str">
        <f t="shared" si="44"/>
        <v>Johns Hopkins*</v>
      </c>
      <c r="K298" t="str">
        <f t="shared" si="37"/>
        <v>og=(Johns Hopkins*) OR oo=(Johns Hopkins*) OR ad=(Johns Hopkins*)</v>
      </c>
      <c r="L298" t="str">
        <f t="shared" si="38"/>
        <v>og=(Johns Hopkins*) OR oo=(Johns Hopkins*) OR ad=(Johns Hopkins*)</v>
      </c>
    </row>
    <row r="299" spans="1:12">
      <c r="A299">
        <v>43632</v>
      </c>
      <c r="B299" t="s">
        <v>547</v>
      </c>
      <c r="C299" t="s">
        <v>547</v>
      </c>
      <c r="D299">
        <f t="shared" si="42"/>
        <v>3</v>
      </c>
      <c r="E299" t="str">
        <f t="shared" si="43"/>
        <v>Council</v>
      </c>
      <c r="F299">
        <v>0</v>
      </c>
      <c r="G299" t="s">
        <v>547</v>
      </c>
      <c r="J299" t="str">
        <f t="shared" si="44"/>
        <v>National Science Council*</v>
      </c>
      <c r="K299" t="str">
        <f t="shared" si="37"/>
        <v>og=(National Science Council*) OR oo=(National Science Council*) OR ad=(National Science Council*)</v>
      </c>
      <c r="L299" t="str">
        <f t="shared" si="38"/>
        <v>og=(National Science Council*) OR oo=(National Science Council*) OR ad=(National Science Council*)</v>
      </c>
    </row>
    <row r="300" spans="1:12">
      <c r="A300">
        <v>43632</v>
      </c>
      <c r="B300" t="s">
        <v>394</v>
      </c>
      <c r="C300" t="s">
        <v>394</v>
      </c>
      <c r="D300">
        <f t="shared" si="42"/>
        <v>3</v>
      </c>
      <c r="E300" t="str">
        <f t="shared" si="43"/>
        <v>University</v>
      </c>
      <c r="F300">
        <v>1</v>
      </c>
      <c r="G300" t="s">
        <v>991</v>
      </c>
      <c r="J300" t="str">
        <f t="shared" si="44"/>
        <v>National Taiwan*</v>
      </c>
      <c r="K300" t="str">
        <f t="shared" si="37"/>
        <v>og=(National Taiwan*) OR oo=(National Taiwan*) OR ad=(National Taiwan*)</v>
      </c>
      <c r="L300" t="str">
        <f t="shared" si="38"/>
        <v>og=(National Taiwan*) OR oo=(National Taiwan*) OR ad=(National Taiwan*)</v>
      </c>
    </row>
    <row r="301" spans="1:12">
      <c r="A301">
        <v>43632</v>
      </c>
      <c r="B301" t="s">
        <v>392</v>
      </c>
      <c r="C301" t="s">
        <v>392</v>
      </c>
      <c r="D301">
        <f t="shared" si="42"/>
        <v>4</v>
      </c>
      <c r="E301" t="str">
        <f t="shared" si="43"/>
        <v>Berkeley</v>
      </c>
      <c r="F301" t="s">
        <v>1036</v>
      </c>
      <c r="G301" t="s">
        <v>816</v>
      </c>
      <c r="H301" t="str">
        <f>TRIM(LEFT(SUBSTITUTE(G301,",",REPT(" ",99)),99))</f>
        <v>univ* California</v>
      </c>
      <c r="I301" t="str">
        <f>TRIM(RIGHT(SUBSTITUTE(C301,",",REPT(" ",99)),99))</f>
        <v>Berkeley</v>
      </c>
      <c r="J301" t="str">
        <f>IF(MID(TRIM(H301),LEN(TRIM(H301)),1)="*",TRIM(H301),TRIM(H301)&amp;"*")</f>
        <v>univ* California*</v>
      </c>
      <c r="K301" t="str">
        <f t="shared" si="37"/>
        <v>og=(univ* California*) OR oo=(univ* California*) OR ad=(univ* California*)</v>
      </c>
      <c r="L301" t="str">
        <f t="shared" si="38"/>
        <v>(og=(univ* California*) OR oo=(univ* California*) OR ad=(univ* California*)) AND ad=(Berkeley)</v>
      </c>
    </row>
    <row r="302" spans="1:12">
      <c r="A302">
        <v>43883</v>
      </c>
      <c r="B302" t="s">
        <v>465</v>
      </c>
      <c r="C302" t="s">
        <v>465</v>
      </c>
      <c r="D302">
        <f t="shared" si="42"/>
        <v>4</v>
      </c>
      <c r="E302" t="str">
        <f t="shared" si="43"/>
        <v>Sciences</v>
      </c>
      <c r="F302">
        <v>0</v>
      </c>
      <c r="G302" t="s">
        <v>465</v>
      </c>
      <c r="J302" t="str">
        <f>IF(MID(TRIM(G302),LEN(TRIM(G302)),1)="*",TRIM(G302),TRIM(G302)&amp;"*")</f>
        <v>Chinese Academy of Sciences*</v>
      </c>
      <c r="K302" t="str">
        <f t="shared" si="37"/>
        <v>og=(Chinese Academy of Sciences*) OR oo=(Chinese Academy of Sciences*) OR ad=(Chinese Academy of Sciences*)</v>
      </c>
      <c r="L302" t="str">
        <f t="shared" si="38"/>
        <v>og=(Chinese Academy of Sciences*) OR oo=(Chinese Academy of Sciences*) OR ad=(Chinese Academy of Sciences*)</v>
      </c>
    </row>
    <row r="303" spans="1:12">
      <c r="A303">
        <v>43883</v>
      </c>
      <c r="B303" t="s">
        <v>466</v>
      </c>
      <c r="C303" t="s">
        <v>466</v>
      </c>
      <c r="D303">
        <f t="shared" si="42"/>
        <v>4</v>
      </c>
      <c r="E303" t="str">
        <f t="shared" si="43"/>
        <v>Technology</v>
      </c>
      <c r="F303">
        <v>0</v>
      </c>
      <c r="G303" t="s">
        <v>466</v>
      </c>
      <c r="J303" t="str">
        <f>IF(MID(TRIM(G303),LEN(TRIM(G303)),1)="*",TRIM(G303),TRIM(G303)&amp;"*")</f>
        <v>Hefei University of Technology*</v>
      </c>
      <c r="K303" t="str">
        <f t="shared" si="37"/>
        <v>og=(Hefei University of Technology*) OR oo=(Hefei University of Technology*) OR ad=(Hefei University of Technology*)</v>
      </c>
      <c r="L303" t="str">
        <f t="shared" si="38"/>
        <v>og=(Hefei University of Technology*) OR oo=(Hefei University of Technology*) OR ad=(Hefei University of Technology*)</v>
      </c>
    </row>
    <row r="304" spans="1:12">
      <c r="A304">
        <v>43883</v>
      </c>
      <c r="B304" t="s">
        <v>154</v>
      </c>
      <c r="C304" t="s">
        <v>154</v>
      </c>
      <c r="D304">
        <f t="shared" si="42"/>
        <v>3</v>
      </c>
      <c r="E304" t="str">
        <f t="shared" si="43"/>
        <v>University</v>
      </c>
      <c r="F304">
        <v>1</v>
      </c>
      <c r="G304" t="s">
        <v>953</v>
      </c>
      <c r="J304" t="str">
        <f>IF(MID(TRIM(G304),LEN(TRIM(G304)),1)="*",TRIM(G304),TRIM(G304)&amp;"*")</f>
        <v>Iowa State*</v>
      </c>
      <c r="K304" t="str">
        <f t="shared" si="37"/>
        <v>og=(Iowa State*) OR oo=(Iowa State*) OR ad=(Iowa State*)</v>
      </c>
      <c r="L304" t="str">
        <f t="shared" si="38"/>
        <v>og=(Iowa State*) OR oo=(Iowa State*) OR ad=(Iowa State*)</v>
      </c>
    </row>
    <row r="305" spans="1:12">
      <c r="A305">
        <v>43883</v>
      </c>
      <c r="B305" t="s">
        <v>193</v>
      </c>
      <c r="C305" t="s">
        <v>193</v>
      </c>
      <c r="D305">
        <f t="shared" si="42"/>
        <v>2</v>
      </c>
      <c r="E305" t="str">
        <f t="shared" si="43"/>
        <v>University</v>
      </c>
      <c r="F305">
        <v>1</v>
      </c>
      <c r="G305" t="s">
        <v>992</v>
      </c>
      <c r="J305" t="str">
        <f>IF(MID(TRIM(G305),LEN(TRIM(G305)),1)="*",TRIM(G305),TRIM(G305)&amp;"*")</f>
        <v>Northwestern*</v>
      </c>
      <c r="K305" t="str">
        <f t="shared" si="37"/>
        <v>og=(Northwestern*) OR oo=(Northwestern*) OR ad=(Northwestern*)</v>
      </c>
      <c r="L305" t="str">
        <f t="shared" si="38"/>
        <v>og=(Northwestern*) OR oo=(Northwestern*) OR ad=(Northwestern*)</v>
      </c>
    </row>
    <row r="306" spans="1:12">
      <c r="A306">
        <v>43883</v>
      </c>
      <c r="B306" t="s">
        <v>380</v>
      </c>
      <c r="C306" t="s">
        <v>392</v>
      </c>
      <c r="D306">
        <f t="shared" si="42"/>
        <v>4</v>
      </c>
      <c r="E306" t="str">
        <f t="shared" si="43"/>
        <v>Berkeley</v>
      </c>
      <c r="F306" t="s">
        <v>1036</v>
      </c>
      <c r="G306" t="s">
        <v>816</v>
      </c>
      <c r="H306" t="str">
        <f>TRIM(LEFT(SUBSTITUTE(G306,",",REPT(" ",99)),99))</f>
        <v>univ* California</v>
      </c>
      <c r="I306" t="str">
        <f>TRIM(RIGHT(SUBSTITUTE(C306,",",REPT(" ",99)),99))</f>
        <v>Berkeley</v>
      </c>
      <c r="J306" t="str">
        <f>IF(MID(TRIM(H306),LEN(TRIM(H306)),1)="*",TRIM(H306),TRIM(H306)&amp;"*")</f>
        <v>univ* California*</v>
      </c>
      <c r="K306" t="str">
        <f t="shared" si="37"/>
        <v>og=(univ* California*) OR oo=(univ* California*) OR ad=(univ* California*)</v>
      </c>
      <c r="L306" t="str">
        <f t="shared" si="38"/>
        <v>(og=(univ* California*) OR oo=(univ* California*) OR ad=(univ* California*)) AND ad=(Berkeley)</v>
      </c>
    </row>
    <row r="307" spans="1:12">
      <c r="A307">
        <v>44441</v>
      </c>
      <c r="B307" t="s">
        <v>94</v>
      </c>
      <c r="C307" t="s">
        <v>94</v>
      </c>
      <c r="D307">
        <f t="shared" si="42"/>
        <v>2</v>
      </c>
      <c r="E307" t="str">
        <f t="shared" si="43"/>
        <v>University</v>
      </c>
      <c r="F307">
        <v>1</v>
      </c>
      <c r="G307" t="s">
        <v>929</v>
      </c>
      <c r="J307" t="str">
        <f>IF(MID(TRIM(G307),LEN(TRIM(G307)),1)="*",TRIM(G307),TRIM(G307)&amp;"*")</f>
        <v>Cornell*</v>
      </c>
      <c r="K307" t="str">
        <f t="shared" si="37"/>
        <v>og=(Cornell*) OR oo=(Cornell*) OR ad=(Cornell*)</v>
      </c>
      <c r="L307" t="str">
        <f t="shared" si="38"/>
        <v>og=(Cornell*) OR oo=(Cornell*) OR ad=(Cornell*)</v>
      </c>
    </row>
    <row r="308" spans="1:12">
      <c r="A308">
        <v>44441</v>
      </c>
      <c r="B308" t="s">
        <v>171</v>
      </c>
      <c r="C308" t="s">
        <v>171</v>
      </c>
      <c r="D308">
        <f t="shared" si="42"/>
        <v>2</v>
      </c>
      <c r="E308" t="str">
        <f t="shared" si="43"/>
        <v>College</v>
      </c>
      <c r="F308">
        <v>2</v>
      </c>
      <c r="G308" t="s">
        <v>993</v>
      </c>
      <c r="J308" t="str">
        <f>IF(MID(TRIM(G308),LEN(TRIM(G308)),1)="*",TRIM(G308),TRIM(G308)&amp;"*")</f>
        <v>Manhattan*</v>
      </c>
      <c r="K308" t="str">
        <f t="shared" si="37"/>
        <v>og=(Manhattan*) OR oo=(Manhattan*) OR ad=(Manhattan*)</v>
      </c>
      <c r="L308" t="str">
        <f t="shared" si="38"/>
        <v>og=(Manhattan*) OR oo=(Manhattan*) OR ad=(Manhattan*)</v>
      </c>
    </row>
    <row r="309" spans="1:12">
      <c r="A309">
        <v>44441</v>
      </c>
      <c r="B309" t="s">
        <v>392</v>
      </c>
      <c r="C309" t="s">
        <v>392</v>
      </c>
      <c r="D309">
        <f t="shared" si="42"/>
        <v>4</v>
      </c>
      <c r="E309" t="str">
        <f t="shared" si="43"/>
        <v>Berkeley</v>
      </c>
      <c r="F309" t="s">
        <v>1036</v>
      </c>
      <c r="G309" t="s">
        <v>816</v>
      </c>
      <c r="H309" t="str">
        <f>TRIM(LEFT(SUBSTITUTE(G309,",",REPT(" ",99)),99))</f>
        <v>univ* California</v>
      </c>
      <c r="I309" t="str">
        <f>TRIM(RIGHT(SUBSTITUTE(C309,",",REPT(" ",99)),99))</f>
        <v>Berkeley</v>
      </c>
      <c r="J309" t="str">
        <f>IF(MID(TRIM(H309),LEN(TRIM(H309)),1)="*",TRIM(H309),TRIM(H309)&amp;"*")</f>
        <v>univ* California*</v>
      </c>
      <c r="K309" t="str">
        <f t="shared" si="37"/>
        <v>og=(univ* California*) OR oo=(univ* California*) OR ad=(univ* California*)</v>
      </c>
      <c r="L309" t="str">
        <f t="shared" si="38"/>
        <v>(og=(univ* California*) OR oo=(univ* California*) OR ad=(univ* California*)) AND ad=(Berkeley)</v>
      </c>
    </row>
    <row r="310" spans="1:12">
      <c r="A310">
        <v>44470</v>
      </c>
      <c r="B310" t="s">
        <v>205</v>
      </c>
      <c r="C310" t="s">
        <v>205</v>
      </c>
      <c r="D310">
        <f t="shared" si="42"/>
        <v>3</v>
      </c>
      <c r="E310" t="str">
        <f t="shared" si="43"/>
        <v>Institute</v>
      </c>
      <c r="F310">
        <v>0</v>
      </c>
      <c r="G310" t="s">
        <v>205</v>
      </c>
      <c r="J310" t="str">
        <f>IF(MID(TRIM(G310),LEN(TRIM(G310)),1)="*",TRIM(G310),TRIM(G310)&amp;"*")</f>
        <v>Rensselaer Polytechnic Institute*</v>
      </c>
      <c r="K310" t="str">
        <f t="shared" si="37"/>
        <v>og=(Rensselaer Polytechnic Institute*) OR oo=(Rensselaer Polytechnic Institute*) OR ad=(Rensselaer Polytechnic Institute*)</v>
      </c>
      <c r="L310" t="str">
        <f t="shared" si="38"/>
        <v>og=(Rensselaer Polytechnic Institute*) OR oo=(Rensselaer Polytechnic Institute*) OR ad=(Rensselaer Polytechnic Institute*)</v>
      </c>
    </row>
    <row r="311" spans="1:12">
      <c r="A311">
        <v>45090</v>
      </c>
      <c r="B311" t="s">
        <v>637</v>
      </c>
      <c r="C311" t="s">
        <v>702</v>
      </c>
      <c r="D311">
        <f t="shared" si="42"/>
        <v>4</v>
      </c>
      <c r="E311" t="str">
        <f t="shared" si="43"/>
        <v>Urbana-Champaign</v>
      </c>
      <c r="F311" t="s">
        <v>1036</v>
      </c>
      <c r="G311" t="s">
        <v>827</v>
      </c>
      <c r="H311" t="str">
        <f>TRIM(LEFT(SUBSTITUTE(G311,",",REPT(" ",99)),99))</f>
        <v>univ* Illinois</v>
      </c>
      <c r="I311" t="str">
        <f>TRIM(RIGHT(SUBSTITUTE(C311,",",REPT(" ",99)),99))</f>
        <v>Urbana-Champaign</v>
      </c>
      <c r="J311" t="str">
        <f>IF(MID(TRIM(H311),LEN(TRIM(H311)),1)="*",TRIM(H311),TRIM(H311)&amp;"*")</f>
        <v>univ* Illinois*</v>
      </c>
      <c r="K311" t="str">
        <f t="shared" si="37"/>
        <v>og=(univ* Illinois*) OR oo=(univ* Illinois*) OR ad=(univ* Illinois*)</v>
      </c>
      <c r="L311" t="str">
        <f t="shared" si="38"/>
        <v>(og=(univ* Illinois*) OR oo=(univ* Illinois*) OR ad=(univ* Illinois*)) AND ad=(Urbana-Champaign)</v>
      </c>
    </row>
    <row r="312" spans="1:12">
      <c r="A312">
        <v>45090</v>
      </c>
      <c r="B312" t="s">
        <v>306</v>
      </c>
      <c r="C312" t="s">
        <v>618</v>
      </c>
      <c r="D312">
        <f t="shared" si="42"/>
        <v>4</v>
      </c>
      <c r="E312" t="str">
        <f t="shared" si="43"/>
        <v>Austin</v>
      </c>
      <c r="F312" t="s">
        <v>1036</v>
      </c>
      <c r="G312" t="s">
        <v>846</v>
      </c>
      <c r="H312" t="str">
        <f>TRIM(LEFT(SUBSTITUTE(G312,",",REPT(" ",99)),99))</f>
        <v>univ* Texas</v>
      </c>
      <c r="I312" t="str">
        <f>TRIM(RIGHT(SUBSTITUTE(C312,",",REPT(" ",99)),99))</f>
        <v>Austin</v>
      </c>
      <c r="J312" t="str">
        <f>IF(MID(TRIM(H312),LEN(TRIM(H312)),1)="*",TRIM(H312),TRIM(H312)&amp;"*")</f>
        <v>univ* Texas*</v>
      </c>
      <c r="K312" t="str">
        <f t="shared" si="37"/>
        <v>og=(univ* Texas*) OR oo=(univ* Texas*) OR ad=(univ* Texas*)</v>
      </c>
      <c r="L312" t="str">
        <f t="shared" si="38"/>
        <v>(og=(univ* Texas*) OR oo=(univ* Texas*) OR ad=(univ* Texas*)) AND ad=(Austin)</v>
      </c>
    </row>
    <row r="313" spans="1:12">
      <c r="A313">
        <v>45090</v>
      </c>
      <c r="B313" t="s">
        <v>318</v>
      </c>
      <c r="C313" t="s">
        <v>318</v>
      </c>
      <c r="D313">
        <f t="shared" si="42"/>
        <v>3</v>
      </c>
      <c r="E313" t="str">
        <f t="shared" si="43"/>
        <v>Virginia</v>
      </c>
      <c r="F313">
        <v>3</v>
      </c>
      <c r="G313" t="s">
        <v>813</v>
      </c>
      <c r="J313" t="str">
        <f t="shared" ref="J313:J318" si="45">IF(MID(TRIM(G313),LEN(TRIM(G313)),1)="*",TRIM(G313),TRIM(G313)&amp;"*")</f>
        <v>univ* Virginia*</v>
      </c>
      <c r="K313" t="str">
        <f t="shared" si="37"/>
        <v>og=(univ* Virginia*) OR oo=(univ* Virginia*) OR ad=(univ* Virginia*)</v>
      </c>
      <c r="L313" t="str">
        <f t="shared" si="38"/>
        <v>og=(univ* Virginia*) OR oo=(univ* Virginia*) OR ad=(univ* Virginia*)</v>
      </c>
    </row>
    <row r="314" spans="1:12">
      <c r="A314">
        <v>47126</v>
      </c>
      <c r="B314" t="s">
        <v>470</v>
      </c>
      <c r="C314" t="s">
        <v>470</v>
      </c>
      <c r="D314">
        <f t="shared" si="42"/>
        <v>3</v>
      </c>
      <c r="E314" t="str">
        <f t="shared" si="43"/>
        <v>University</v>
      </c>
      <c r="F314">
        <v>1</v>
      </c>
      <c r="G314" t="s">
        <v>994</v>
      </c>
      <c r="J314" t="str">
        <f t="shared" si="45"/>
        <v>Beijing Polytechnic*</v>
      </c>
      <c r="K314" t="str">
        <f t="shared" si="37"/>
        <v>og=(Beijing Polytechnic*) OR oo=(Beijing Polytechnic*) OR ad=(Beijing Polytechnic*)</v>
      </c>
      <c r="L314" t="str">
        <f t="shared" si="38"/>
        <v>og=(Beijing Polytechnic*) OR oo=(Beijing Polytechnic*) OR ad=(Beijing Polytechnic*)</v>
      </c>
    </row>
    <row r="315" spans="1:12">
      <c r="A315">
        <v>47126</v>
      </c>
      <c r="B315" t="s">
        <v>465</v>
      </c>
      <c r="C315" t="s">
        <v>465</v>
      </c>
      <c r="D315">
        <f t="shared" si="42"/>
        <v>4</v>
      </c>
      <c r="E315" t="str">
        <f t="shared" si="43"/>
        <v>Sciences</v>
      </c>
      <c r="F315">
        <v>0</v>
      </c>
      <c r="G315" t="s">
        <v>465</v>
      </c>
      <c r="J315" t="str">
        <f t="shared" si="45"/>
        <v>Chinese Academy of Sciences*</v>
      </c>
      <c r="K315" t="str">
        <f t="shared" si="37"/>
        <v>og=(Chinese Academy of Sciences*) OR oo=(Chinese Academy of Sciences*) OR ad=(Chinese Academy of Sciences*)</v>
      </c>
      <c r="L315" t="str">
        <f t="shared" si="38"/>
        <v>og=(Chinese Academy of Sciences*) OR oo=(Chinese Academy of Sciences*) OR ad=(Chinese Academy of Sciences*)</v>
      </c>
    </row>
    <row r="316" spans="1:12">
      <c r="A316">
        <v>47126</v>
      </c>
      <c r="B316" t="s">
        <v>469</v>
      </c>
      <c r="C316" t="s">
        <v>469</v>
      </c>
      <c r="D316">
        <f t="shared" si="42"/>
        <v>4</v>
      </c>
      <c r="E316" t="str">
        <f t="shared" si="43"/>
        <v>Nationalities</v>
      </c>
      <c r="F316">
        <v>0</v>
      </c>
      <c r="G316" t="s">
        <v>469</v>
      </c>
      <c r="J316" t="str">
        <f t="shared" si="45"/>
        <v>Hubei Institute for Nationalities*</v>
      </c>
      <c r="K316" t="str">
        <f t="shared" si="37"/>
        <v>og=(Hubei Institute for Nationalities*) OR oo=(Hubei Institute for Nationalities*) OR ad=(Hubei Institute for Nationalities*)</v>
      </c>
      <c r="L316" t="str">
        <f t="shared" si="38"/>
        <v>og=(Hubei Institute for Nationalities*) OR oo=(Hubei Institute for Nationalities*) OR ad=(Hubei Institute for Nationalities*)</v>
      </c>
    </row>
    <row r="317" spans="1:12">
      <c r="A317">
        <v>47126</v>
      </c>
      <c r="B317" t="s">
        <v>471</v>
      </c>
      <c r="C317" t="s">
        <v>471</v>
      </c>
      <c r="D317">
        <f t="shared" si="42"/>
        <v>4</v>
      </c>
      <c r="E317" t="str">
        <f t="shared" si="43"/>
        <v>Newfoundland</v>
      </c>
      <c r="F317">
        <v>0</v>
      </c>
      <c r="G317" t="s">
        <v>471</v>
      </c>
      <c r="J317" t="str">
        <f t="shared" si="45"/>
        <v>Memorial University of Newfoundland*</v>
      </c>
      <c r="K317" t="str">
        <f t="shared" si="37"/>
        <v>og=(Memorial University of Newfoundland*) OR oo=(Memorial University of Newfoundland*) OR ad=(Memorial University of Newfoundland*)</v>
      </c>
      <c r="L317" t="str">
        <f t="shared" si="38"/>
        <v>og=(Memorial University of Newfoundland*) OR oo=(Memorial University of Newfoundland*) OR ad=(Memorial University of Newfoundland*)</v>
      </c>
    </row>
    <row r="318" spans="1:12">
      <c r="A318">
        <v>47126</v>
      </c>
      <c r="B318" t="s">
        <v>201</v>
      </c>
      <c r="C318" t="s">
        <v>201</v>
      </c>
      <c r="D318">
        <f t="shared" si="42"/>
        <v>2</v>
      </c>
      <c r="E318" t="str">
        <f t="shared" si="43"/>
        <v>University</v>
      </c>
      <c r="F318">
        <v>1</v>
      </c>
      <c r="G318" t="s">
        <v>965</v>
      </c>
      <c r="J318" t="str">
        <f t="shared" si="45"/>
        <v>Purdue*</v>
      </c>
      <c r="K318" t="str">
        <f t="shared" si="37"/>
        <v>og=(Purdue*) OR oo=(Purdue*) OR ad=(Purdue*)</v>
      </c>
      <c r="L318" t="str">
        <f t="shared" si="38"/>
        <v>og=(Purdue*) OR oo=(Purdue*) OR ad=(Purdue*)</v>
      </c>
    </row>
    <row r="319" spans="1:12">
      <c r="A319">
        <v>47126</v>
      </c>
      <c r="B319" t="s">
        <v>220</v>
      </c>
      <c r="C319" t="s">
        <v>686</v>
      </c>
      <c r="D319">
        <f t="shared" si="42"/>
        <v>4</v>
      </c>
      <c r="E319" t="str">
        <f t="shared" si="43"/>
        <v>Carbondale</v>
      </c>
      <c r="F319" t="s">
        <v>1033</v>
      </c>
      <c r="G319" t="s">
        <v>686</v>
      </c>
      <c r="H319" t="s">
        <v>1029</v>
      </c>
      <c r="I319" t="str">
        <f>TRIM(RIGHT(SUBSTITUTE(C319,",",REPT(" ",99)),99))</f>
        <v>Carbondale</v>
      </c>
      <c r="J319" t="str">
        <f>IF(MID(TRIM(H319),LEN(TRIM(H319)),1)="*",TRIM(H319),TRIM(H319)&amp;"*")</f>
        <v>Southern Illinois Univ*</v>
      </c>
      <c r="K319" t="str">
        <f t="shared" si="37"/>
        <v>og=(Southern Illinois Univ*) OR oo=(Southern Illinois Univ*) OR ad=(Southern Illinois Univ*)</v>
      </c>
      <c r="L319" t="str">
        <f t="shared" si="38"/>
        <v>(og=(Southern Illinois Univ*) OR oo=(Southern Illinois Univ*) OR ad=(Southern Illinois Univ*)) AND ad=(Carbondale)</v>
      </c>
    </row>
    <row r="320" spans="1:12">
      <c r="A320">
        <v>47805</v>
      </c>
      <c r="B320" t="s">
        <v>473</v>
      </c>
      <c r="C320" t="s">
        <v>138</v>
      </c>
      <c r="D320">
        <f t="shared" si="42"/>
        <v>2</v>
      </c>
      <c r="E320" t="str">
        <f t="shared" si="43"/>
        <v>University</v>
      </c>
      <c r="F320">
        <v>1</v>
      </c>
      <c r="G320" t="s">
        <v>969</v>
      </c>
      <c r="J320" t="str">
        <f t="shared" ref="J320:J326" si="46">IF(MID(TRIM(G320),LEN(TRIM(G320)),1)="*",TRIM(G320),TRIM(G320)&amp;"*")</f>
        <v>Harvard*</v>
      </c>
      <c r="K320" t="str">
        <f t="shared" si="37"/>
        <v>og=(Harvard*) OR oo=(Harvard*) OR ad=(Harvard*)</v>
      </c>
      <c r="L320" t="str">
        <f t="shared" si="38"/>
        <v>og=(Harvard*) OR oo=(Harvard*) OR ad=(Harvard*)</v>
      </c>
    </row>
    <row r="321" spans="1:12">
      <c r="A321">
        <v>47805</v>
      </c>
      <c r="B321" t="s">
        <v>172</v>
      </c>
      <c r="C321" t="s">
        <v>172</v>
      </c>
      <c r="D321">
        <f t="shared" si="42"/>
        <v>4</v>
      </c>
      <c r="E321" t="str">
        <f t="shared" si="43"/>
        <v>Technology</v>
      </c>
      <c r="F321">
        <v>0</v>
      </c>
      <c r="G321" t="s">
        <v>172</v>
      </c>
      <c r="J321" t="str">
        <f t="shared" si="46"/>
        <v>Massachusetts Institute of Technology*</v>
      </c>
      <c r="K321" t="str">
        <f t="shared" si="37"/>
        <v>og=(Massachusetts Institute of Technology*) OR oo=(Massachusetts Institute of Technology*) OR ad=(Massachusetts Institute of Technology*)</v>
      </c>
      <c r="L321" t="str">
        <f t="shared" si="38"/>
        <v>og=(Massachusetts Institute of Technology*) OR oo=(Massachusetts Institute of Technology*) OR ad=(Massachusetts Institute of Technology*)</v>
      </c>
    </row>
    <row r="322" spans="1:12">
      <c r="A322">
        <v>47805</v>
      </c>
      <c r="B322" t="s">
        <v>472</v>
      </c>
      <c r="C322" t="s">
        <v>472</v>
      </c>
      <c r="D322">
        <f t="shared" si="42"/>
        <v>3</v>
      </c>
      <c r="E322" t="str">
        <f t="shared" si="43"/>
        <v>COPENHAGEN</v>
      </c>
      <c r="F322">
        <v>3</v>
      </c>
      <c r="G322" t="s">
        <v>866</v>
      </c>
      <c r="J322" t="str">
        <f t="shared" si="46"/>
        <v>univ* COPENHAGEN*</v>
      </c>
      <c r="K322" t="str">
        <f t="shared" ref="K322:K385" si="47">"og=("&amp;J322&amp;") OR oo=("&amp;J322&amp;") OR ad=("&amp;J322&amp;")"</f>
        <v>og=(univ* COPENHAGEN*) OR oo=(univ* COPENHAGEN*) OR ad=(univ* COPENHAGEN*)</v>
      </c>
      <c r="L322" t="str">
        <f t="shared" ref="L322:L385" si="48">IF(I322="",K322,"(" &amp; K322 &amp; ") AND ad=(" &amp; I322 &amp; ")")</f>
        <v>og=(univ* COPENHAGEN*) OR oo=(univ* COPENHAGEN*) OR ad=(univ* COPENHAGEN*)</v>
      </c>
    </row>
    <row r="323" spans="1:12">
      <c r="A323">
        <v>48483</v>
      </c>
      <c r="B323" t="s">
        <v>82</v>
      </c>
      <c r="C323" t="s">
        <v>508</v>
      </c>
      <c r="D323">
        <f t="shared" si="42"/>
        <v>2</v>
      </c>
      <c r="E323" t="str">
        <f t="shared" si="43"/>
        <v>University</v>
      </c>
      <c r="F323">
        <v>1</v>
      </c>
      <c r="G323" t="s">
        <v>935</v>
      </c>
      <c r="J323" t="str">
        <f t="shared" si="46"/>
        <v>Columbia*</v>
      </c>
      <c r="K323" t="str">
        <f t="shared" si="47"/>
        <v>og=(Columbia*) OR oo=(Columbia*) OR ad=(Columbia*)</v>
      </c>
      <c r="L323" t="str">
        <f t="shared" si="48"/>
        <v>og=(Columbia*) OR oo=(Columbia*) OR ad=(Columbia*)</v>
      </c>
    </row>
    <row r="324" spans="1:12">
      <c r="A324">
        <v>48483</v>
      </c>
      <c r="B324" t="s">
        <v>394</v>
      </c>
      <c r="C324" t="s">
        <v>394</v>
      </c>
      <c r="D324">
        <f t="shared" si="42"/>
        <v>3</v>
      </c>
      <c r="E324" t="str">
        <f t="shared" si="43"/>
        <v>University</v>
      </c>
      <c r="F324">
        <v>1</v>
      </c>
      <c r="G324" t="s">
        <v>991</v>
      </c>
      <c r="J324" t="str">
        <f t="shared" si="46"/>
        <v>National Taiwan*</v>
      </c>
      <c r="K324" t="str">
        <f t="shared" si="47"/>
        <v>og=(National Taiwan*) OR oo=(National Taiwan*) OR ad=(National Taiwan*)</v>
      </c>
      <c r="L324" t="str">
        <f t="shared" si="48"/>
        <v>og=(National Taiwan*) OR oo=(National Taiwan*) OR ad=(National Taiwan*)</v>
      </c>
    </row>
    <row r="325" spans="1:12">
      <c r="A325">
        <v>48483</v>
      </c>
      <c r="B325" t="s">
        <v>228</v>
      </c>
      <c r="C325" t="s">
        <v>228</v>
      </c>
      <c r="D325">
        <f t="shared" si="42"/>
        <v>2</v>
      </c>
      <c r="E325" t="str">
        <f t="shared" si="43"/>
        <v>University</v>
      </c>
      <c r="F325">
        <v>1</v>
      </c>
      <c r="G325" t="s">
        <v>989</v>
      </c>
      <c r="J325" t="str">
        <f t="shared" si="46"/>
        <v>Stanford*</v>
      </c>
      <c r="K325" t="str">
        <f t="shared" si="47"/>
        <v>og=(Stanford*) OR oo=(Stanford*) OR ad=(Stanford*)</v>
      </c>
      <c r="L325" t="str">
        <f t="shared" si="48"/>
        <v>og=(Stanford*) OR oo=(Stanford*) OR ad=(Stanford*)</v>
      </c>
    </row>
    <row r="326" spans="1:12">
      <c r="A326">
        <v>48699</v>
      </c>
      <c r="B326" t="s">
        <v>172</v>
      </c>
      <c r="C326" t="s">
        <v>172</v>
      </c>
      <c r="D326">
        <f t="shared" si="42"/>
        <v>4</v>
      </c>
      <c r="E326" t="str">
        <f t="shared" si="43"/>
        <v>Technology</v>
      </c>
      <c r="F326">
        <v>0</v>
      </c>
      <c r="G326" t="s">
        <v>172</v>
      </c>
      <c r="J326" t="str">
        <f t="shared" si="46"/>
        <v>Massachusetts Institute of Technology*</v>
      </c>
      <c r="K326" t="str">
        <f t="shared" si="47"/>
        <v>og=(Massachusetts Institute of Technology*) OR oo=(Massachusetts Institute of Technology*) OR ad=(Massachusetts Institute of Technology*)</v>
      </c>
      <c r="L326" t="str">
        <f t="shared" si="48"/>
        <v>og=(Massachusetts Institute of Technology*) OR oo=(Massachusetts Institute of Technology*) OR ad=(Massachusetts Institute of Technology*)</v>
      </c>
    </row>
    <row r="327" spans="1:12">
      <c r="A327">
        <v>48699</v>
      </c>
      <c r="B327" t="s">
        <v>230</v>
      </c>
      <c r="C327" s="5" t="s">
        <v>1037</v>
      </c>
      <c r="D327">
        <f t="shared" si="42"/>
        <v>6</v>
      </c>
      <c r="E327" t="str">
        <f t="shared" si="43"/>
        <v>Binghamton</v>
      </c>
      <c r="F327">
        <v>5</v>
      </c>
      <c r="G327" t="s">
        <v>1037</v>
      </c>
      <c r="H327" t="str">
        <f>TRIM(LEFT(SUBSTITUTE(G327,",",REPT(" ",99)),99))</f>
        <v>State University of New York</v>
      </c>
      <c r="I327" t="str">
        <f>TRIM(RIGHT(SUBSTITUTE(C327,",",REPT(" ",99)),99))</f>
        <v>Binghamton</v>
      </c>
      <c r="J327" t="str">
        <f>IF(MID(TRIM(H327),LEN(TRIM(H327)),1)="*",TRIM(H327),TRIM(H327)&amp;"*")</f>
        <v>State University of New York*</v>
      </c>
      <c r="K327" t="str">
        <f t="shared" si="47"/>
        <v>og=(State University of New York*) OR oo=(State University of New York*) OR ad=(State University of New York*)</v>
      </c>
      <c r="L327" t="str">
        <f t="shared" si="48"/>
        <v>(og=(State University of New York*) OR oo=(State University of New York*) OR ad=(State University of New York*)) AND ad=(Binghamton)</v>
      </c>
    </row>
    <row r="328" spans="1:12">
      <c r="A328">
        <v>48699</v>
      </c>
      <c r="B328" t="s">
        <v>230</v>
      </c>
      <c r="C328" s="5" t="s">
        <v>1037</v>
      </c>
      <c r="D328">
        <v>3</v>
      </c>
      <c r="E328" t="s">
        <v>802</v>
      </c>
      <c r="F328">
        <v>5</v>
      </c>
      <c r="G328" s="8" t="s">
        <v>1037</v>
      </c>
      <c r="H328" t="s">
        <v>1028</v>
      </c>
      <c r="I328" t="str">
        <f>TRIM(RIGHT(SUBSTITUTE(C328,",",REPT(" ",99)),99))</f>
        <v>Binghamton</v>
      </c>
      <c r="J328" t="str">
        <f>IF(MID(TRIM(H328),LEN(TRIM(H328)),1)="*",TRIM(H328),TRIM(H328)&amp;"*")</f>
        <v>SUNY*</v>
      </c>
      <c r="K328" t="str">
        <f t="shared" si="47"/>
        <v>og=(SUNY*) OR oo=(SUNY*) OR ad=(SUNY*)</v>
      </c>
      <c r="L328" t="str">
        <f t="shared" si="48"/>
        <v>(og=(SUNY*) OR oo=(SUNY*) OR ad=(SUNY*)) AND ad=(Binghamton)</v>
      </c>
    </row>
    <row r="329" spans="1:12">
      <c r="A329">
        <v>48708</v>
      </c>
      <c r="B329" t="s">
        <v>62</v>
      </c>
      <c r="C329" t="s">
        <v>62</v>
      </c>
      <c r="D329">
        <f t="shared" ref="D329:D337" si="49">LEN(TRIM(C329))-LEN(SUBSTITUTE(C329," ",""))+1</f>
        <v>4</v>
      </c>
      <c r="E329" t="str">
        <f t="shared" ref="E329:E337" si="50">TRIM(RIGHT(SUBSTITUTE(C329," ",REPT(" ",99)),99))</f>
        <v>University</v>
      </c>
      <c r="F329">
        <v>1</v>
      </c>
      <c r="G329" t="s">
        <v>1037</v>
      </c>
      <c r="J329" t="str">
        <f t="shared" ref="J329:J336" si="51">IF(MID(TRIM(G329),LEN(TRIM(G329)),1)="*",TRIM(G329),TRIM(G329)&amp;"*")</f>
        <v>State University of New York, Binghamton*</v>
      </c>
      <c r="K329" t="str">
        <f t="shared" si="47"/>
        <v>og=(State University of New York, Binghamton*) OR oo=(State University of New York, Binghamton*) OR ad=(State University of New York, Binghamton*)</v>
      </c>
      <c r="L329" t="str">
        <f t="shared" si="48"/>
        <v>og=(State University of New York, Binghamton*) OR oo=(State University of New York, Binghamton*) OR ad=(State University of New York, Binghamton*)</v>
      </c>
    </row>
    <row r="330" spans="1:12">
      <c r="A330">
        <v>48708</v>
      </c>
      <c r="B330" t="s">
        <v>508</v>
      </c>
      <c r="C330" t="s">
        <v>508</v>
      </c>
      <c r="D330">
        <f t="shared" si="49"/>
        <v>2</v>
      </c>
      <c r="E330" t="str">
        <f t="shared" si="50"/>
        <v>University</v>
      </c>
      <c r="F330">
        <v>1</v>
      </c>
      <c r="G330" t="s">
        <v>1037</v>
      </c>
      <c r="J330" t="str">
        <f t="shared" si="51"/>
        <v>State University of New York, Binghamton*</v>
      </c>
      <c r="K330" t="str">
        <f t="shared" si="47"/>
        <v>og=(State University of New York, Binghamton*) OR oo=(State University of New York, Binghamton*) OR ad=(State University of New York, Binghamton*)</v>
      </c>
      <c r="L330" t="str">
        <f t="shared" si="48"/>
        <v>og=(State University of New York, Binghamton*) OR oo=(State University of New York, Binghamton*) OR ad=(State University of New York, Binghamton*)</v>
      </c>
    </row>
    <row r="331" spans="1:12">
      <c r="A331">
        <v>48708</v>
      </c>
      <c r="B331" t="s">
        <v>94</v>
      </c>
      <c r="C331" t="s">
        <v>94</v>
      </c>
      <c r="D331">
        <f t="shared" si="49"/>
        <v>2</v>
      </c>
      <c r="E331" t="str">
        <f t="shared" si="50"/>
        <v>University</v>
      </c>
      <c r="F331">
        <v>1</v>
      </c>
      <c r="G331" t="s">
        <v>929</v>
      </c>
      <c r="J331" t="str">
        <f t="shared" si="51"/>
        <v>Cornell*</v>
      </c>
      <c r="K331" t="str">
        <f t="shared" si="47"/>
        <v>og=(Cornell*) OR oo=(Cornell*) OR ad=(Cornell*)</v>
      </c>
      <c r="L331" t="str">
        <f t="shared" si="48"/>
        <v>og=(Cornell*) OR oo=(Cornell*) OR ad=(Cornell*)</v>
      </c>
    </row>
    <row r="332" spans="1:12">
      <c r="A332">
        <v>48708</v>
      </c>
      <c r="B332" t="s">
        <v>550</v>
      </c>
      <c r="C332" s="5" t="s">
        <v>133</v>
      </c>
      <c r="D332">
        <f t="shared" si="49"/>
        <v>3</v>
      </c>
      <c r="E332" t="str">
        <f t="shared" si="50"/>
        <v>University</v>
      </c>
      <c r="F332">
        <v>1</v>
      </c>
      <c r="G332" s="5" t="s">
        <v>997</v>
      </c>
      <c r="H332" s="5"/>
      <c r="I332" s="5"/>
      <c r="J332" t="str">
        <f t="shared" si="51"/>
        <v>George Washington*</v>
      </c>
      <c r="K332" t="str">
        <f t="shared" si="47"/>
        <v>og=(George Washington*) OR oo=(George Washington*) OR ad=(George Washington*)</v>
      </c>
      <c r="L332" t="str">
        <f t="shared" si="48"/>
        <v>og=(George Washington*) OR oo=(George Washington*) OR ad=(George Washington*)</v>
      </c>
    </row>
    <row r="333" spans="1:12">
      <c r="A333">
        <v>48708</v>
      </c>
      <c r="B333" t="s">
        <v>548</v>
      </c>
      <c r="C333" t="s">
        <v>548</v>
      </c>
      <c r="D333">
        <f t="shared" si="49"/>
        <v>2</v>
      </c>
      <c r="E333" t="str">
        <f t="shared" si="50"/>
        <v>University</v>
      </c>
      <c r="F333">
        <v>1</v>
      </c>
      <c r="G333" t="s">
        <v>995</v>
      </c>
      <c r="J333" t="str">
        <f t="shared" si="51"/>
        <v>Hebrew*</v>
      </c>
      <c r="K333" t="str">
        <f t="shared" si="47"/>
        <v>og=(Hebrew*) OR oo=(Hebrew*) OR ad=(Hebrew*)</v>
      </c>
      <c r="L333" t="str">
        <f t="shared" si="48"/>
        <v>og=(Hebrew*) OR oo=(Hebrew*) OR ad=(Hebrew*)</v>
      </c>
    </row>
    <row r="334" spans="1:12">
      <c r="A334">
        <v>48708</v>
      </c>
      <c r="B334" t="s">
        <v>163</v>
      </c>
      <c r="C334" t="s">
        <v>163</v>
      </c>
      <c r="D334">
        <f t="shared" si="49"/>
        <v>3</v>
      </c>
      <c r="E334" t="str">
        <f t="shared" si="50"/>
        <v>University</v>
      </c>
      <c r="F334">
        <v>1</v>
      </c>
      <c r="G334" t="s">
        <v>980</v>
      </c>
      <c r="J334" t="str">
        <f t="shared" si="51"/>
        <v>Kansas State*</v>
      </c>
      <c r="K334" t="str">
        <f t="shared" si="47"/>
        <v>og=(Kansas State*) OR oo=(Kansas State*) OR ad=(Kansas State*)</v>
      </c>
      <c r="L334" t="str">
        <f t="shared" si="48"/>
        <v>og=(Kansas State*) OR oo=(Kansas State*) OR ad=(Kansas State*)</v>
      </c>
    </row>
    <row r="335" spans="1:12">
      <c r="A335">
        <v>48708</v>
      </c>
      <c r="B335" t="s">
        <v>188</v>
      </c>
      <c r="C335" t="s">
        <v>188</v>
      </c>
      <c r="D335">
        <f t="shared" si="49"/>
        <v>3</v>
      </c>
      <c r="E335" t="str">
        <f t="shared" si="50"/>
        <v>University</v>
      </c>
      <c r="F335">
        <v>1</v>
      </c>
      <c r="G335" t="s">
        <v>996</v>
      </c>
      <c r="J335" t="str">
        <f t="shared" si="51"/>
        <v>New York*</v>
      </c>
      <c r="K335" t="str">
        <f t="shared" si="47"/>
        <v>og=(New York*) OR oo=(New York*) OR ad=(New York*)</v>
      </c>
      <c r="L335" t="str">
        <f t="shared" si="48"/>
        <v>og=(New York*) OR oo=(New York*) OR ad=(New York*)</v>
      </c>
    </row>
    <row r="336" spans="1:12">
      <c r="A336">
        <v>48708</v>
      </c>
      <c r="B336" t="s">
        <v>228</v>
      </c>
      <c r="C336" t="s">
        <v>228</v>
      </c>
      <c r="D336">
        <f t="shared" si="49"/>
        <v>2</v>
      </c>
      <c r="E336" t="str">
        <f t="shared" si="50"/>
        <v>University</v>
      </c>
      <c r="F336">
        <v>1</v>
      </c>
      <c r="G336" t="s">
        <v>989</v>
      </c>
      <c r="J336" t="str">
        <f t="shared" si="51"/>
        <v>Stanford*</v>
      </c>
      <c r="K336" t="str">
        <f t="shared" si="47"/>
        <v>og=(Stanford*) OR oo=(Stanford*) OR ad=(Stanford*)</v>
      </c>
      <c r="L336" t="str">
        <f t="shared" si="48"/>
        <v>og=(Stanford*) OR oo=(Stanford*) OR ad=(Stanford*)</v>
      </c>
    </row>
    <row r="337" spans="1:12">
      <c r="A337">
        <v>48708</v>
      </c>
      <c r="B337" t="s">
        <v>230</v>
      </c>
      <c r="C337" s="5" t="s">
        <v>1037</v>
      </c>
      <c r="D337">
        <f t="shared" si="49"/>
        <v>6</v>
      </c>
      <c r="E337" t="str">
        <f t="shared" si="50"/>
        <v>Binghamton</v>
      </c>
      <c r="F337">
        <v>5</v>
      </c>
      <c r="G337" t="s">
        <v>1037</v>
      </c>
      <c r="H337" t="str">
        <f>TRIM(LEFT(SUBSTITUTE(G337,",",REPT(" ",99)),99))</f>
        <v>State University of New York</v>
      </c>
      <c r="I337" t="str">
        <f>TRIM(RIGHT(SUBSTITUTE(C337,",",REPT(" ",99)),99))</f>
        <v>Binghamton</v>
      </c>
      <c r="J337" t="str">
        <f>IF(MID(TRIM(H337),LEN(TRIM(H337)),1)="*",TRIM(H337),TRIM(H337)&amp;"*")</f>
        <v>State University of New York*</v>
      </c>
      <c r="K337" t="str">
        <f t="shared" si="47"/>
        <v>og=(State University of New York*) OR oo=(State University of New York*) OR ad=(State University of New York*)</v>
      </c>
      <c r="L337" t="str">
        <f t="shared" si="48"/>
        <v>(og=(State University of New York*) OR oo=(State University of New York*) OR ad=(State University of New York*)) AND ad=(Binghamton)</v>
      </c>
    </row>
    <row r="338" spans="1:12">
      <c r="A338">
        <v>48708</v>
      </c>
      <c r="B338" t="s">
        <v>230</v>
      </c>
      <c r="C338" s="5" t="s">
        <v>1037</v>
      </c>
      <c r="D338">
        <v>3</v>
      </c>
      <c r="E338" t="s">
        <v>802</v>
      </c>
      <c r="F338">
        <v>5</v>
      </c>
      <c r="G338" s="8" t="s">
        <v>1037</v>
      </c>
      <c r="H338" t="s">
        <v>1028</v>
      </c>
      <c r="I338" t="str">
        <f>TRIM(RIGHT(SUBSTITUTE(C338,",",REPT(" ",99)),99))</f>
        <v>Binghamton</v>
      </c>
      <c r="J338" t="str">
        <f>IF(MID(TRIM(H338),LEN(TRIM(H338)),1)="*",TRIM(H338),TRIM(H338)&amp;"*")</f>
        <v>SUNY*</v>
      </c>
      <c r="K338" t="str">
        <f t="shared" si="47"/>
        <v>og=(SUNY*) OR oo=(SUNY*) OR ad=(SUNY*)</v>
      </c>
      <c r="L338" t="str">
        <f t="shared" si="48"/>
        <v>(og=(SUNY*) OR oo=(SUNY*) OR ad=(SUNY*)) AND ad=(Binghamton)</v>
      </c>
    </row>
    <row r="339" spans="1:12">
      <c r="A339">
        <v>48708</v>
      </c>
      <c r="B339" t="s">
        <v>549</v>
      </c>
      <c r="C339" t="s">
        <v>549</v>
      </c>
      <c r="D339">
        <f t="shared" ref="D339:D370" si="52">LEN(TRIM(C339))-LEN(SUBSTITUTE(C339," ",""))+1</f>
        <v>1</v>
      </c>
      <c r="E339" t="str">
        <f t="shared" ref="E339:E370" si="53">TRIM(RIGHT(SUBSTITUTE(C339," ",REPT(" ",99)),99))</f>
        <v>Technion</v>
      </c>
      <c r="F339">
        <v>0</v>
      </c>
      <c r="G339" t="s">
        <v>1037</v>
      </c>
      <c r="J339" t="str">
        <f t="shared" ref="J339:J348" si="54">IF(MID(TRIM(G339),LEN(TRIM(G339)),1)="*",TRIM(G339),TRIM(G339)&amp;"*")</f>
        <v>State University of New York, Binghamton*</v>
      </c>
      <c r="K339" t="str">
        <f t="shared" si="47"/>
        <v>og=(State University of New York, Binghamton*) OR oo=(State University of New York, Binghamton*) OR ad=(State University of New York, Binghamton*)</v>
      </c>
      <c r="L339" t="str">
        <f t="shared" si="48"/>
        <v>og=(State University of New York, Binghamton*) OR oo=(State University of New York, Binghamton*) OR ad=(State University of New York, Binghamton*)</v>
      </c>
    </row>
    <row r="340" spans="1:12">
      <c r="A340">
        <v>48708</v>
      </c>
      <c r="B340" t="s">
        <v>554</v>
      </c>
      <c r="C340" t="s">
        <v>554</v>
      </c>
      <c r="D340">
        <f t="shared" si="52"/>
        <v>2</v>
      </c>
      <c r="E340" t="str">
        <f t="shared" si="53"/>
        <v>University</v>
      </c>
      <c r="F340">
        <v>1</v>
      </c>
      <c r="G340" t="s">
        <v>1037</v>
      </c>
      <c r="J340" t="str">
        <f t="shared" si="54"/>
        <v>State University of New York, Binghamton*</v>
      </c>
      <c r="K340" t="str">
        <f t="shared" si="47"/>
        <v>og=(State University of New York, Binghamton*) OR oo=(State University of New York, Binghamton*) OR ad=(State University of New York, Binghamton*)</v>
      </c>
      <c r="L340" t="str">
        <f t="shared" si="48"/>
        <v>og=(State University of New York, Binghamton*) OR oo=(State University of New York, Binghamton*) OR ad=(State University of New York, Binghamton*)</v>
      </c>
    </row>
    <row r="341" spans="1:12">
      <c r="A341">
        <v>48708</v>
      </c>
      <c r="B341" t="s">
        <v>551</v>
      </c>
      <c r="C341" s="5" t="s">
        <v>694</v>
      </c>
      <c r="D341">
        <f t="shared" si="52"/>
        <v>4</v>
      </c>
      <c r="E341" t="str">
        <f t="shared" si="53"/>
        <v>Mexico</v>
      </c>
      <c r="F341">
        <v>3</v>
      </c>
      <c r="G341" s="5" t="s">
        <v>867</v>
      </c>
      <c r="H341" s="5"/>
      <c r="I341" s="5"/>
      <c r="J341" t="str">
        <f t="shared" si="54"/>
        <v>univ* New Mexico*</v>
      </c>
      <c r="K341" t="str">
        <f t="shared" si="47"/>
        <v>og=(univ* New Mexico*) OR oo=(univ* New Mexico*) OR ad=(univ* New Mexico*)</v>
      </c>
      <c r="L341" t="str">
        <f t="shared" si="48"/>
        <v>og=(univ* New Mexico*) OR oo=(univ* New Mexico*) OR ad=(univ* New Mexico*)</v>
      </c>
    </row>
    <row r="342" spans="1:12">
      <c r="A342">
        <v>48708</v>
      </c>
      <c r="B342" t="s">
        <v>553</v>
      </c>
      <c r="C342" t="s">
        <v>553</v>
      </c>
      <c r="D342">
        <f t="shared" si="52"/>
        <v>3</v>
      </c>
      <c r="E342" t="str">
        <f t="shared" si="53"/>
        <v>Institute</v>
      </c>
      <c r="F342">
        <v>0</v>
      </c>
      <c r="G342" t="s">
        <v>553</v>
      </c>
      <c r="J342" t="str">
        <f t="shared" si="54"/>
        <v>Virginia Polytechnic Institute*</v>
      </c>
      <c r="K342" t="str">
        <f t="shared" si="47"/>
        <v>og=(Virginia Polytechnic Institute*) OR oo=(Virginia Polytechnic Institute*) OR ad=(Virginia Polytechnic Institute*)</v>
      </c>
      <c r="L342" t="str">
        <f t="shared" si="48"/>
        <v>og=(Virginia Polytechnic Institute*) OR oo=(Virginia Polytechnic Institute*) OR ad=(Virginia Polytechnic Institute*)</v>
      </c>
    </row>
    <row r="343" spans="1:12">
      <c r="A343">
        <v>49000</v>
      </c>
      <c r="B343" t="s">
        <v>429</v>
      </c>
      <c r="C343" t="s">
        <v>429</v>
      </c>
      <c r="D343">
        <f t="shared" si="52"/>
        <v>3</v>
      </c>
      <c r="E343" t="str">
        <f t="shared" si="53"/>
        <v>Cincinnati</v>
      </c>
      <c r="F343">
        <v>3</v>
      </c>
      <c r="G343" t="s">
        <v>820</v>
      </c>
      <c r="J343" t="str">
        <f t="shared" si="54"/>
        <v>univ* Cincinnati*</v>
      </c>
      <c r="K343" t="str">
        <f t="shared" si="47"/>
        <v>og=(univ* Cincinnati*) OR oo=(univ* Cincinnati*) OR ad=(univ* Cincinnati*)</v>
      </c>
      <c r="L343" t="str">
        <f t="shared" si="48"/>
        <v>og=(univ* Cincinnati*) OR oo=(univ* Cincinnati*) OR ad=(univ* Cincinnati*)</v>
      </c>
    </row>
    <row r="344" spans="1:12">
      <c r="A344">
        <v>49978</v>
      </c>
      <c r="B344" t="s">
        <v>434</v>
      </c>
      <c r="C344" t="s">
        <v>434</v>
      </c>
      <c r="D344">
        <f t="shared" si="52"/>
        <v>4</v>
      </c>
      <c r="E344" t="str">
        <f t="shared" si="53"/>
        <v>Technology</v>
      </c>
      <c r="F344">
        <v>0</v>
      </c>
      <c r="G344" t="s">
        <v>434</v>
      </c>
      <c r="J344" t="str">
        <f t="shared" si="54"/>
        <v>Beijing Institute of Technology*</v>
      </c>
      <c r="K344" t="str">
        <f t="shared" si="47"/>
        <v>og=(Beijing Institute of Technology*) OR oo=(Beijing Institute of Technology*) OR ad=(Beijing Institute of Technology*)</v>
      </c>
      <c r="L344" t="str">
        <f t="shared" si="48"/>
        <v>og=(Beijing Institute of Technology*) OR oo=(Beijing Institute of Technology*) OR ad=(Beijing Institute of Technology*)</v>
      </c>
    </row>
    <row r="345" spans="1:12">
      <c r="A345">
        <v>49978</v>
      </c>
      <c r="B345" t="s">
        <v>433</v>
      </c>
      <c r="C345" t="s">
        <v>433</v>
      </c>
      <c r="D345">
        <f t="shared" si="52"/>
        <v>3</v>
      </c>
      <c r="E345" t="str">
        <f t="shared" si="53"/>
        <v>University</v>
      </c>
      <c r="F345">
        <v>1</v>
      </c>
      <c r="G345" t="s">
        <v>998</v>
      </c>
      <c r="J345" t="str">
        <f t="shared" si="54"/>
        <v>China Agricultural*</v>
      </c>
      <c r="K345" t="str">
        <f t="shared" si="47"/>
        <v>og=(China Agricultural*) OR oo=(China Agricultural*) OR ad=(China Agricultural*)</v>
      </c>
      <c r="L345" t="str">
        <f t="shared" si="48"/>
        <v>og=(China Agricultural*) OR oo=(China Agricultural*) OR ad=(China Agricultural*)</v>
      </c>
    </row>
    <row r="346" spans="1:12">
      <c r="A346">
        <v>49978</v>
      </c>
      <c r="B346" t="s">
        <v>435</v>
      </c>
      <c r="C346" t="s">
        <v>435</v>
      </c>
      <c r="D346">
        <f t="shared" si="52"/>
        <v>5</v>
      </c>
      <c r="E346" t="str">
        <f t="shared" si="53"/>
        <v>Statistics</v>
      </c>
      <c r="F346">
        <v>0</v>
      </c>
      <c r="G346" t="s">
        <v>435</v>
      </c>
      <c r="J346" t="str">
        <f t="shared" si="54"/>
        <v>National Center for Health Statistics*</v>
      </c>
      <c r="K346" t="str">
        <f t="shared" si="47"/>
        <v>og=(National Center for Health Statistics*) OR oo=(National Center for Health Statistics*) OR ad=(National Center for Health Statistics*)</v>
      </c>
      <c r="L346" t="str">
        <f t="shared" si="48"/>
        <v>og=(National Center for Health Statistics*) OR oo=(National Center for Health Statistics*) OR ad=(National Center for Health Statistics*)</v>
      </c>
    </row>
    <row r="347" spans="1:12">
      <c r="A347">
        <v>49978</v>
      </c>
      <c r="B347" t="s">
        <v>674</v>
      </c>
      <c r="C347" t="s">
        <v>685</v>
      </c>
      <c r="D347">
        <f t="shared" si="52"/>
        <v>4</v>
      </c>
      <c r="E347" t="str">
        <f t="shared" si="53"/>
        <v>Health</v>
      </c>
      <c r="F347">
        <v>0</v>
      </c>
      <c r="G347" t="s">
        <v>685</v>
      </c>
      <c r="J347" t="str">
        <f t="shared" si="54"/>
        <v>National Institutes of Health*</v>
      </c>
      <c r="K347" t="str">
        <f t="shared" si="47"/>
        <v>og=(National Institutes of Health*) OR oo=(National Institutes of Health*) OR ad=(National Institutes of Health*)</v>
      </c>
      <c r="L347" t="str">
        <f t="shared" si="48"/>
        <v>og=(National Institutes of Health*) OR oo=(National Institutes of Health*) OR ad=(National Institutes of Health*)</v>
      </c>
    </row>
    <row r="348" spans="1:12">
      <c r="A348">
        <v>49978</v>
      </c>
      <c r="B348" t="s">
        <v>431</v>
      </c>
      <c r="C348" t="s">
        <v>431</v>
      </c>
      <c r="D348">
        <f t="shared" si="52"/>
        <v>3</v>
      </c>
      <c r="E348" t="str">
        <f t="shared" si="53"/>
        <v>Maryland</v>
      </c>
      <c r="F348">
        <v>3</v>
      </c>
      <c r="G348" t="s">
        <v>829</v>
      </c>
      <c r="J348" t="str">
        <f t="shared" si="54"/>
        <v>univ* Maryland*</v>
      </c>
      <c r="K348" t="str">
        <f t="shared" si="47"/>
        <v>og=(univ* Maryland*) OR oo=(univ* Maryland*) OR ad=(univ* Maryland*)</v>
      </c>
      <c r="L348" t="str">
        <f t="shared" si="48"/>
        <v>og=(univ* Maryland*) OR oo=(univ* Maryland*) OR ad=(univ* Maryland*)</v>
      </c>
    </row>
    <row r="349" spans="1:12">
      <c r="A349">
        <v>49978</v>
      </c>
      <c r="B349" t="s">
        <v>432</v>
      </c>
      <c r="C349" t="s">
        <v>707</v>
      </c>
      <c r="D349">
        <f t="shared" si="52"/>
        <v>4</v>
      </c>
      <c r="E349" t="str">
        <f t="shared" si="53"/>
        <v>Lincoln</v>
      </c>
      <c r="F349" t="s">
        <v>1036</v>
      </c>
      <c r="G349" t="s">
        <v>847</v>
      </c>
      <c r="H349" t="str">
        <f>TRIM(LEFT(SUBSTITUTE(G349,",",REPT(" ",99)),99))</f>
        <v>univ* Nebraska</v>
      </c>
      <c r="I349" t="str">
        <f>TRIM(RIGHT(SUBSTITUTE(C349,",",REPT(" ",99)),99))</f>
        <v>Lincoln</v>
      </c>
      <c r="J349" t="str">
        <f>IF(MID(TRIM(H349),LEN(TRIM(H349)),1)="*",TRIM(H349),TRIM(H349)&amp;"*")</f>
        <v>univ* Nebraska*</v>
      </c>
      <c r="K349" t="str">
        <f t="shared" si="47"/>
        <v>og=(univ* Nebraska*) OR oo=(univ* Nebraska*) OR ad=(univ* Nebraska*)</v>
      </c>
      <c r="L349" t="str">
        <f t="shared" si="48"/>
        <v>(og=(univ* Nebraska*) OR oo=(univ* Nebraska*) OR ad=(univ* Nebraska*)) AND ad=(Lincoln)</v>
      </c>
    </row>
    <row r="350" spans="1:12">
      <c r="A350">
        <v>49978</v>
      </c>
      <c r="B350" t="s">
        <v>405</v>
      </c>
      <c r="C350" t="s">
        <v>405</v>
      </c>
      <c r="D350">
        <f t="shared" si="52"/>
        <v>3</v>
      </c>
      <c r="E350" t="str">
        <f t="shared" si="53"/>
        <v>Texas</v>
      </c>
      <c r="F350">
        <v>3</v>
      </c>
      <c r="G350" t="s">
        <v>869</v>
      </c>
      <c r="J350" t="str">
        <f>IF(MID(TRIM(G350),LEN(TRIM(G350)),1)="*",TRIM(G350),TRIM(G350)&amp;"*")</f>
        <v>univ* Texas*</v>
      </c>
      <c r="K350" t="str">
        <f t="shared" si="47"/>
        <v>og=(univ* Texas*) OR oo=(univ* Texas*) OR ad=(univ* Texas*)</v>
      </c>
      <c r="L350" t="str">
        <f t="shared" si="48"/>
        <v>og=(univ* Texas*) OR oo=(univ* Texas*) OR ad=(univ* Texas*)</v>
      </c>
    </row>
    <row r="351" spans="1:12">
      <c r="A351">
        <v>49978</v>
      </c>
      <c r="B351" t="s">
        <v>256</v>
      </c>
      <c r="C351" s="5" t="s">
        <v>712</v>
      </c>
      <c r="D351">
        <f t="shared" si="52"/>
        <v>4</v>
      </c>
      <c r="E351" t="str">
        <f t="shared" si="53"/>
        <v>Arlington</v>
      </c>
      <c r="F351" t="s">
        <v>1036</v>
      </c>
      <c r="G351" s="5" t="s">
        <v>868</v>
      </c>
      <c r="H351" t="str">
        <f>TRIM(LEFT(SUBSTITUTE(G351,",",REPT(" ",99)),99))</f>
        <v>univ* Texas</v>
      </c>
      <c r="I351" t="str">
        <f>TRIM(RIGHT(SUBSTITUTE(C351,",",REPT(" ",99)),99))</f>
        <v>Arlington</v>
      </c>
      <c r="J351" t="str">
        <f>IF(MID(TRIM(H351),LEN(TRIM(H351)),1)="*",TRIM(H351),TRIM(H351)&amp;"*")</f>
        <v>univ* Texas*</v>
      </c>
      <c r="K351" t="str">
        <f t="shared" si="47"/>
        <v>og=(univ* Texas*) OR oo=(univ* Texas*) OR ad=(univ* Texas*)</v>
      </c>
      <c r="L351" t="str">
        <f t="shared" si="48"/>
        <v>(og=(univ* Texas*) OR oo=(univ* Texas*) OR ad=(univ* Texas*)) AND ad=(Arlington)</v>
      </c>
    </row>
    <row r="352" spans="1:12">
      <c r="A352">
        <v>49978</v>
      </c>
      <c r="B352" t="s">
        <v>436</v>
      </c>
      <c r="C352" t="s">
        <v>436</v>
      </c>
      <c r="D352">
        <f t="shared" si="52"/>
        <v>1</v>
      </c>
      <c r="E352" t="str">
        <f t="shared" si="53"/>
        <v>WESTAT</v>
      </c>
      <c r="F352">
        <v>0</v>
      </c>
      <c r="G352" t="s">
        <v>436</v>
      </c>
      <c r="J352" t="str">
        <f>IF(MID(TRIM(G352),LEN(TRIM(G352)),1)="*",TRIM(G352),TRIM(G352)&amp;"*")</f>
        <v>WESTAT*</v>
      </c>
      <c r="K352" t="str">
        <f t="shared" si="47"/>
        <v>og=(WESTAT*) OR oo=(WESTAT*) OR ad=(WESTAT*)</v>
      </c>
      <c r="L352" t="str">
        <f t="shared" si="48"/>
        <v>og=(WESTAT*) OR oo=(WESTAT*) OR ad=(WESTAT*)</v>
      </c>
    </row>
    <row r="353" spans="1:12">
      <c r="A353">
        <v>50146</v>
      </c>
      <c r="B353" t="s">
        <v>439</v>
      </c>
      <c r="C353" t="s">
        <v>439</v>
      </c>
      <c r="D353">
        <f t="shared" si="52"/>
        <v>4</v>
      </c>
      <c r="E353" t="str">
        <f t="shared" si="53"/>
        <v>Administration</v>
      </c>
      <c r="F353">
        <v>0</v>
      </c>
      <c r="G353" t="s">
        <v>439</v>
      </c>
      <c r="J353" t="str">
        <f>IF(MID(TRIM(G353),LEN(TRIM(G353)),1)="*",TRIM(G353),TRIM(G353)&amp;"*")</f>
        <v>Food and Drug Administration*</v>
      </c>
      <c r="K353" t="str">
        <f t="shared" si="47"/>
        <v>og=(Food and Drug Administration*) OR oo=(Food and Drug Administration*) OR ad=(Food and Drug Administration*)</v>
      </c>
      <c r="L353" t="str">
        <f t="shared" si="48"/>
        <v>og=(Food and Drug Administration*) OR oo=(Food and Drug Administration*) OR ad=(Food and Drug Administration*)</v>
      </c>
    </row>
    <row r="354" spans="1:12">
      <c r="A354">
        <v>50146</v>
      </c>
      <c r="B354" t="s">
        <v>437</v>
      </c>
      <c r="C354" t="s">
        <v>437</v>
      </c>
      <c r="D354">
        <f t="shared" si="52"/>
        <v>4</v>
      </c>
      <c r="E354" t="str">
        <f t="shared" si="53"/>
        <v>Laboratory</v>
      </c>
      <c r="F354">
        <v>0</v>
      </c>
      <c r="G354" t="s">
        <v>437</v>
      </c>
      <c r="J354" t="str">
        <f>IF(MID(TRIM(G354),LEN(TRIM(G354)),1)="*",TRIM(G354),TRIM(G354)&amp;"*")</f>
        <v>Los Alamos National Laboratory*</v>
      </c>
      <c r="K354" t="str">
        <f t="shared" si="47"/>
        <v>og=(Los Alamos National Laboratory*) OR oo=(Los Alamos National Laboratory*) OR ad=(Los Alamos National Laboratory*)</v>
      </c>
      <c r="L354" t="str">
        <f t="shared" si="48"/>
        <v>og=(Los Alamos National Laboratory*) OR oo=(Los Alamos National Laboratory*) OR ad=(Los Alamos National Laboratory*)</v>
      </c>
    </row>
    <row r="355" spans="1:12">
      <c r="A355">
        <v>50146</v>
      </c>
      <c r="B355" t="s">
        <v>440</v>
      </c>
      <c r="C355" t="s">
        <v>440</v>
      </c>
      <c r="D355">
        <f t="shared" si="52"/>
        <v>5</v>
      </c>
      <c r="E355" t="str">
        <f t="shared" si="53"/>
        <v>Health</v>
      </c>
      <c r="F355">
        <v>0</v>
      </c>
      <c r="G355" t="s">
        <v>440</v>
      </c>
      <c r="J355" t="str">
        <f>IF(MID(TRIM(G355),LEN(TRIM(G355)),1)="*",TRIM(G355),TRIM(G355)&amp;"*")</f>
        <v>National Institute of Mental Health*</v>
      </c>
      <c r="K355" t="str">
        <f t="shared" si="47"/>
        <v>og=(National Institute of Mental Health*) OR oo=(National Institute of Mental Health*) OR ad=(National Institute of Mental Health*)</v>
      </c>
      <c r="L355" t="str">
        <f t="shared" si="48"/>
        <v>og=(National Institute of Mental Health*) OR oo=(National Institute of Mental Health*) OR ad=(National Institute of Mental Health*)</v>
      </c>
    </row>
    <row r="356" spans="1:12">
      <c r="A356">
        <v>50146</v>
      </c>
      <c r="B356" t="s">
        <v>438</v>
      </c>
      <c r="C356" t="s">
        <v>438</v>
      </c>
      <c r="D356">
        <f t="shared" si="52"/>
        <v>3</v>
      </c>
      <c r="E356" t="str">
        <f t="shared" si="53"/>
        <v>Reserve</v>
      </c>
      <c r="F356">
        <v>0</v>
      </c>
      <c r="G356" t="s">
        <v>438</v>
      </c>
      <c r="J356" t="str">
        <f>IF(MID(TRIM(G356),LEN(TRIM(G356)),1)="*",TRIM(G356),TRIM(G356)&amp;"*")</f>
        <v>U.S. Federal Reserve*</v>
      </c>
      <c r="K356" t="str">
        <f t="shared" si="47"/>
        <v>og=(U.S. Federal Reserve*) OR oo=(U.S. Federal Reserve*) OR ad=(U.S. Federal Reserve*)</v>
      </c>
      <c r="L356" t="str">
        <f t="shared" si="48"/>
        <v>og=(U.S. Federal Reserve*) OR oo=(U.S. Federal Reserve*) OR ad=(U.S. Federal Reserve*)</v>
      </c>
    </row>
    <row r="357" spans="1:12">
      <c r="A357">
        <v>50146</v>
      </c>
      <c r="B357" t="s">
        <v>298</v>
      </c>
      <c r="C357" t="s">
        <v>709</v>
      </c>
      <c r="D357">
        <f t="shared" si="52"/>
        <v>6</v>
      </c>
      <c r="E357" t="str">
        <f t="shared" si="53"/>
        <v>Hill</v>
      </c>
      <c r="F357" t="s">
        <v>1036</v>
      </c>
      <c r="G357" t="s">
        <v>817</v>
      </c>
      <c r="H357" t="str">
        <f>TRIM(LEFT(SUBSTITUTE(G357,",",REPT(" ",99)),99))</f>
        <v>univ* North Carolina</v>
      </c>
      <c r="I357" t="str">
        <f>TRIM(RIGHT(SUBSTITUTE(C357,",",REPT(" ",99)),99))</f>
        <v>Chapel Hill</v>
      </c>
      <c r="J357" t="str">
        <f>IF(MID(TRIM(H357),LEN(TRIM(H357)),1)="*",TRIM(H357),TRIM(H357)&amp;"*")</f>
        <v>univ* North Carolina*</v>
      </c>
      <c r="K357" t="str">
        <f t="shared" si="47"/>
        <v>og=(univ* North Carolina*) OR oo=(univ* North Carolina*) OR ad=(univ* North Carolina*)</v>
      </c>
      <c r="L357" t="str">
        <f t="shared" si="48"/>
        <v>(og=(univ* North Carolina*) OR oo=(univ* North Carolina*) OR ad=(univ* North Carolina*)) AND ad=(Chapel Hill)</v>
      </c>
    </row>
    <row r="358" spans="1:12">
      <c r="A358">
        <v>50146</v>
      </c>
      <c r="B358" t="s">
        <v>316</v>
      </c>
      <c r="C358" t="s">
        <v>316</v>
      </c>
      <c r="D358">
        <f t="shared" si="52"/>
        <v>3</v>
      </c>
      <c r="E358" t="str">
        <f t="shared" si="53"/>
        <v>Utah</v>
      </c>
      <c r="F358">
        <v>3</v>
      </c>
      <c r="G358" t="s">
        <v>870</v>
      </c>
      <c r="J358" t="str">
        <f t="shared" ref="J358:J375" si="55">IF(MID(TRIM(G358),LEN(TRIM(G358)),1)="*",TRIM(G358),TRIM(G358)&amp;"*")</f>
        <v>univ* Utah*</v>
      </c>
      <c r="K358" t="str">
        <f t="shared" si="47"/>
        <v>og=(univ* Utah*) OR oo=(univ* Utah*) OR ad=(univ* Utah*)</v>
      </c>
      <c r="L358" t="str">
        <f t="shared" si="48"/>
        <v>og=(univ* Utah*) OR oo=(univ* Utah*) OR ad=(univ* Utah*)</v>
      </c>
    </row>
    <row r="359" spans="1:12">
      <c r="A359">
        <v>50146</v>
      </c>
      <c r="B359" t="s">
        <v>318</v>
      </c>
      <c r="C359" t="s">
        <v>318</v>
      </c>
      <c r="D359">
        <f t="shared" si="52"/>
        <v>3</v>
      </c>
      <c r="E359" t="str">
        <f t="shared" si="53"/>
        <v>Virginia</v>
      </c>
      <c r="F359">
        <v>3</v>
      </c>
      <c r="G359" t="s">
        <v>813</v>
      </c>
      <c r="J359" t="str">
        <f t="shared" si="55"/>
        <v>univ* Virginia*</v>
      </c>
      <c r="K359" t="str">
        <f t="shared" si="47"/>
        <v>og=(univ* Virginia*) OR oo=(univ* Virginia*) OR ad=(univ* Virginia*)</v>
      </c>
      <c r="L359" t="str">
        <f t="shared" si="48"/>
        <v>og=(univ* Virginia*) OR oo=(univ* Virginia*) OR ad=(univ* Virginia*)</v>
      </c>
    </row>
    <row r="360" spans="1:12">
      <c r="A360">
        <v>50593</v>
      </c>
      <c r="B360" t="s">
        <v>556</v>
      </c>
      <c r="C360" t="s">
        <v>556</v>
      </c>
      <c r="D360">
        <f t="shared" si="52"/>
        <v>4</v>
      </c>
      <c r="E360" t="str">
        <f t="shared" si="53"/>
        <v>Mathematics</v>
      </c>
      <c r="F360">
        <v>0</v>
      </c>
      <c r="G360" t="s">
        <v>556</v>
      </c>
      <c r="J360" t="str">
        <f t="shared" si="55"/>
        <v>American Institute of Mathematics*</v>
      </c>
      <c r="K360" t="str">
        <f t="shared" si="47"/>
        <v>og=(American Institute of Mathematics*) OR oo=(American Institute of Mathematics*) OR ad=(American Institute of Mathematics*)</v>
      </c>
      <c r="L360" t="str">
        <f t="shared" si="48"/>
        <v>og=(American Institute of Mathematics*) OR oo=(American Institute of Mathematics*) OR ad=(American Institute of Mathematics*)</v>
      </c>
    </row>
    <row r="361" spans="1:12">
      <c r="A361">
        <v>50593</v>
      </c>
      <c r="B361" t="s">
        <v>107</v>
      </c>
      <c r="C361" t="s">
        <v>107</v>
      </c>
      <c r="D361">
        <f t="shared" si="52"/>
        <v>2</v>
      </c>
      <c r="E361" t="str">
        <f t="shared" si="53"/>
        <v>University</v>
      </c>
      <c r="F361">
        <v>1</v>
      </c>
      <c r="G361" t="s">
        <v>909</v>
      </c>
      <c r="J361" t="str">
        <f t="shared" si="55"/>
        <v>Duke*</v>
      </c>
      <c r="K361" t="str">
        <f t="shared" si="47"/>
        <v>og=(Duke*) OR oo=(Duke*) OR ad=(Duke*)</v>
      </c>
      <c r="L361" t="str">
        <f t="shared" si="48"/>
        <v>og=(Duke*) OR oo=(Duke*) OR ad=(Duke*)</v>
      </c>
    </row>
    <row r="362" spans="1:12">
      <c r="A362">
        <v>50593</v>
      </c>
      <c r="B362" t="s">
        <v>200</v>
      </c>
      <c r="C362" t="s">
        <v>200</v>
      </c>
      <c r="D362">
        <f t="shared" si="52"/>
        <v>2</v>
      </c>
      <c r="E362" t="str">
        <f t="shared" si="53"/>
        <v>University</v>
      </c>
      <c r="F362">
        <v>1</v>
      </c>
      <c r="G362" t="s">
        <v>961</v>
      </c>
      <c r="J362" t="str">
        <f t="shared" si="55"/>
        <v>Princeton*</v>
      </c>
      <c r="K362" t="str">
        <f t="shared" si="47"/>
        <v>og=(Princeton*) OR oo=(Princeton*) OR ad=(Princeton*)</v>
      </c>
      <c r="L362" t="str">
        <f t="shared" si="48"/>
        <v>og=(Princeton*) OR oo=(Princeton*) OR ad=(Princeton*)</v>
      </c>
    </row>
    <row r="363" spans="1:12">
      <c r="A363">
        <v>50593</v>
      </c>
      <c r="B363" t="s">
        <v>228</v>
      </c>
      <c r="C363" t="s">
        <v>228</v>
      </c>
      <c r="D363">
        <f t="shared" si="52"/>
        <v>2</v>
      </c>
      <c r="E363" t="str">
        <f t="shared" si="53"/>
        <v>University</v>
      </c>
      <c r="F363">
        <v>1</v>
      </c>
      <c r="G363" t="s">
        <v>989</v>
      </c>
      <c r="J363" t="str">
        <f t="shared" si="55"/>
        <v>Stanford*</v>
      </c>
      <c r="K363" t="str">
        <f t="shared" si="47"/>
        <v>og=(Stanford*) OR oo=(Stanford*) OR ad=(Stanford*)</v>
      </c>
      <c r="L363" t="str">
        <f t="shared" si="48"/>
        <v>og=(Stanford*) OR oo=(Stanford*) OR ad=(Stanford*)</v>
      </c>
    </row>
    <row r="364" spans="1:12">
      <c r="A364">
        <v>50593</v>
      </c>
      <c r="B364" t="s">
        <v>557</v>
      </c>
      <c r="C364" t="s">
        <v>698</v>
      </c>
      <c r="D364">
        <f t="shared" si="52"/>
        <v>3</v>
      </c>
      <c r="E364" t="str">
        <f t="shared" si="53"/>
        <v>Cambridge</v>
      </c>
      <c r="F364">
        <v>3</v>
      </c>
      <c r="G364" t="s">
        <v>871</v>
      </c>
      <c r="J364" t="str">
        <f t="shared" si="55"/>
        <v>univ* Cambridge*</v>
      </c>
      <c r="K364" t="str">
        <f t="shared" si="47"/>
        <v>og=(univ* Cambridge*) OR oo=(univ* Cambridge*) OR ad=(univ* Cambridge*)</v>
      </c>
      <c r="L364" t="str">
        <f t="shared" si="48"/>
        <v>og=(univ* Cambridge*) OR oo=(univ* Cambridge*) OR ad=(univ* Cambridge*)</v>
      </c>
    </row>
    <row r="365" spans="1:12">
      <c r="A365">
        <v>50890</v>
      </c>
      <c r="B365" t="s">
        <v>168</v>
      </c>
      <c r="C365" t="s">
        <v>168</v>
      </c>
      <c r="D365">
        <f t="shared" si="52"/>
        <v>2</v>
      </c>
      <c r="E365" t="str">
        <f t="shared" si="53"/>
        <v>College</v>
      </c>
      <c r="F365">
        <v>2</v>
      </c>
      <c r="G365" t="s">
        <v>999</v>
      </c>
      <c r="J365" t="str">
        <f t="shared" si="55"/>
        <v>Macalester*</v>
      </c>
      <c r="K365" t="str">
        <f t="shared" si="47"/>
        <v>og=(Macalester*) OR oo=(Macalester*) OR ad=(Macalester*)</v>
      </c>
      <c r="L365" t="str">
        <f t="shared" si="48"/>
        <v>og=(Macalester*) OR oo=(Macalester*) OR ad=(Macalester*)</v>
      </c>
    </row>
    <row r="366" spans="1:12">
      <c r="A366">
        <v>50890</v>
      </c>
      <c r="B366" t="s">
        <v>474</v>
      </c>
      <c r="C366" t="s">
        <v>474</v>
      </c>
      <c r="D366">
        <f t="shared" si="52"/>
        <v>3</v>
      </c>
      <c r="E366" t="str">
        <f t="shared" si="53"/>
        <v>University</v>
      </c>
      <c r="F366">
        <v>1</v>
      </c>
      <c r="G366" t="s">
        <v>1000</v>
      </c>
      <c r="J366" t="str">
        <f t="shared" si="55"/>
        <v>Montana State*</v>
      </c>
      <c r="K366" t="str">
        <f t="shared" si="47"/>
        <v>og=(Montana State*) OR oo=(Montana State*) OR ad=(Montana State*)</v>
      </c>
      <c r="L366" t="str">
        <f t="shared" si="48"/>
        <v>og=(Montana State*) OR oo=(Montana State*) OR ad=(Montana State*)</v>
      </c>
    </row>
    <row r="367" spans="1:12">
      <c r="A367">
        <v>50890</v>
      </c>
      <c r="B367" t="s">
        <v>476</v>
      </c>
      <c r="C367" t="s">
        <v>476</v>
      </c>
      <c r="D367">
        <f t="shared" si="52"/>
        <v>4</v>
      </c>
      <c r="E367" t="str">
        <f t="shared" si="53"/>
        <v>Minnesota</v>
      </c>
      <c r="F367">
        <v>0</v>
      </c>
      <c r="G367" t="s">
        <v>476</v>
      </c>
      <c r="J367" t="str">
        <f t="shared" si="55"/>
        <v>Science Museum of Minnesota*</v>
      </c>
      <c r="K367" t="str">
        <f t="shared" si="47"/>
        <v>og=(Science Museum of Minnesota*) OR oo=(Science Museum of Minnesota*) OR ad=(Science Museum of Minnesota*)</v>
      </c>
      <c r="L367" t="str">
        <f t="shared" si="48"/>
        <v>og=(Science Museum of Minnesota*) OR oo=(Science Museum of Minnesota*) OR ad=(Science Museum of Minnesota*)</v>
      </c>
    </row>
    <row r="368" spans="1:12">
      <c r="A368">
        <v>50890</v>
      </c>
      <c r="B368" t="s">
        <v>475</v>
      </c>
      <c r="C368" t="s">
        <v>475</v>
      </c>
      <c r="D368">
        <f t="shared" si="52"/>
        <v>3</v>
      </c>
      <c r="E368" t="str">
        <f t="shared" si="53"/>
        <v>University</v>
      </c>
      <c r="F368">
        <v>1</v>
      </c>
      <c r="G368" t="s">
        <v>1001</v>
      </c>
      <c r="J368" t="str">
        <f t="shared" si="55"/>
        <v>Stony Brook*</v>
      </c>
      <c r="K368" t="str">
        <f t="shared" si="47"/>
        <v>og=(Stony Brook*) OR oo=(Stony Brook*) OR ad=(Stony Brook*)</v>
      </c>
      <c r="L368" t="str">
        <f t="shared" si="48"/>
        <v>og=(Stony Brook*) OR oo=(Stony Brook*) OR ad=(Stony Brook*)</v>
      </c>
    </row>
    <row r="369" spans="1:12">
      <c r="A369">
        <v>51101</v>
      </c>
      <c r="B369" t="s">
        <v>442</v>
      </c>
      <c r="C369" t="s">
        <v>132</v>
      </c>
      <c r="D369">
        <f t="shared" si="52"/>
        <v>2</v>
      </c>
      <c r="E369" t="str">
        <f t="shared" si="53"/>
        <v>University</v>
      </c>
      <c r="F369">
        <v>1</v>
      </c>
      <c r="G369" t="s">
        <v>1002</v>
      </c>
      <c r="J369" t="str">
        <f t="shared" si="55"/>
        <v>Fordham*</v>
      </c>
      <c r="K369" t="str">
        <f t="shared" si="47"/>
        <v>og=(Fordham*) OR oo=(Fordham*) OR ad=(Fordham*)</v>
      </c>
      <c r="L369" t="str">
        <f t="shared" si="48"/>
        <v>og=(Fordham*) OR oo=(Fordham*) OR ad=(Fordham*)</v>
      </c>
    </row>
    <row r="370" spans="1:12">
      <c r="A370">
        <v>51101</v>
      </c>
      <c r="B370" t="s">
        <v>642</v>
      </c>
      <c r="C370" t="s">
        <v>193</v>
      </c>
      <c r="D370">
        <f t="shared" si="52"/>
        <v>2</v>
      </c>
      <c r="E370" t="str">
        <f t="shared" si="53"/>
        <v>University</v>
      </c>
      <c r="F370">
        <v>1</v>
      </c>
      <c r="G370" t="s">
        <v>992</v>
      </c>
      <c r="J370" t="str">
        <f t="shared" si="55"/>
        <v>Northwestern*</v>
      </c>
      <c r="K370" t="str">
        <f t="shared" si="47"/>
        <v>og=(Northwestern*) OR oo=(Northwestern*) OR ad=(Northwestern*)</v>
      </c>
      <c r="L370" t="str">
        <f t="shared" si="48"/>
        <v>og=(Northwestern*) OR oo=(Northwestern*) OR ad=(Northwestern*)</v>
      </c>
    </row>
    <row r="371" spans="1:12">
      <c r="A371">
        <v>51101</v>
      </c>
      <c r="B371" t="s">
        <v>264</v>
      </c>
      <c r="C371" t="s">
        <v>264</v>
      </c>
      <c r="D371">
        <f t="shared" ref="D371:D402" si="56">LEN(TRIM(C371))-LEN(SUBSTITUTE(C371," ",""))+1</f>
        <v>2</v>
      </c>
      <c r="E371" t="str">
        <f t="shared" ref="E371:E400" si="57">TRIM(RIGHT(SUBSTITUTE(C371," ",REPT(" ",99)),99))</f>
        <v>College</v>
      </c>
      <c r="F371">
        <v>2</v>
      </c>
      <c r="G371" t="s">
        <v>1003</v>
      </c>
      <c r="J371" t="str">
        <f t="shared" si="55"/>
        <v>Trinity*</v>
      </c>
      <c r="K371" t="str">
        <f t="shared" si="47"/>
        <v>og=(Trinity*) OR oo=(Trinity*) OR ad=(Trinity*)</v>
      </c>
      <c r="L371" t="str">
        <f t="shared" si="48"/>
        <v>og=(Trinity*) OR oo=(Trinity*) OR ad=(Trinity*)</v>
      </c>
    </row>
    <row r="372" spans="1:12">
      <c r="A372">
        <v>51101</v>
      </c>
      <c r="B372" t="s">
        <v>340</v>
      </c>
      <c r="C372" t="s">
        <v>340</v>
      </c>
      <c r="D372">
        <f t="shared" si="56"/>
        <v>2</v>
      </c>
      <c r="E372" t="str">
        <f t="shared" si="57"/>
        <v>University</v>
      </c>
      <c r="F372">
        <v>1</v>
      </c>
      <c r="G372" t="s">
        <v>932</v>
      </c>
      <c r="J372" t="str">
        <f t="shared" si="55"/>
        <v>Yale*</v>
      </c>
      <c r="K372" t="str">
        <f t="shared" si="47"/>
        <v>og=(Yale*) OR oo=(Yale*) OR ad=(Yale*)</v>
      </c>
      <c r="L372" t="str">
        <f t="shared" si="48"/>
        <v>og=(Yale*) OR oo=(Yale*) OR ad=(Yale*)</v>
      </c>
    </row>
    <row r="373" spans="1:12">
      <c r="A373">
        <v>51420</v>
      </c>
      <c r="B373" t="s">
        <v>643</v>
      </c>
      <c r="C373" t="s">
        <v>643</v>
      </c>
      <c r="D373">
        <f t="shared" si="56"/>
        <v>2</v>
      </c>
      <c r="E373" t="str">
        <f t="shared" si="57"/>
        <v>UNiversity</v>
      </c>
      <c r="F373">
        <v>1</v>
      </c>
      <c r="G373" t="s">
        <v>1004</v>
      </c>
      <c r="J373" t="str">
        <f t="shared" si="55"/>
        <v>Baylor*</v>
      </c>
      <c r="K373" t="str">
        <f t="shared" si="47"/>
        <v>og=(Baylor*) OR oo=(Baylor*) OR ad=(Baylor*)</v>
      </c>
      <c r="L373" t="str">
        <f t="shared" si="48"/>
        <v>og=(Baylor*) OR oo=(Baylor*) OR ad=(Baylor*)</v>
      </c>
    </row>
    <row r="374" spans="1:12">
      <c r="A374">
        <v>51420</v>
      </c>
      <c r="B374" t="s">
        <v>77</v>
      </c>
      <c r="C374" t="s">
        <v>77</v>
      </c>
      <c r="D374">
        <f t="shared" si="56"/>
        <v>2</v>
      </c>
      <c r="E374" t="str">
        <f t="shared" si="57"/>
        <v>College</v>
      </c>
      <c r="F374">
        <v>2</v>
      </c>
      <c r="G374" t="s">
        <v>956</v>
      </c>
      <c r="J374" t="str">
        <f t="shared" si="55"/>
        <v>Colorado*</v>
      </c>
      <c r="K374" t="str">
        <f t="shared" si="47"/>
        <v>og=(Colorado*) OR oo=(Colorado*) OR ad=(Colorado*)</v>
      </c>
      <c r="L374" t="str">
        <f t="shared" si="48"/>
        <v>og=(Colorado*) OR oo=(Colorado*) OR ad=(Colorado*)</v>
      </c>
    </row>
    <row r="375" spans="1:12">
      <c r="A375">
        <v>51718</v>
      </c>
      <c r="B375" t="s">
        <v>202</v>
      </c>
      <c r="C375" t="s">
        <v>202</v>
      </c>
      <c r="D375">
        <f t="shared" si="56"/>
        <v>2</v>
      </c>
      <c r="E375" t="str">
        <f t="shared" si="57"/>
        <v>College</v>
      </c>
      <c r="F375">
        <v>2</v>
      </c>
      <c r="G375" t="s">
        <v>1005</v>
      </c>
      <c r="J375" t="str">
        <f t="shared" si="55"/>
        <v>Reed*</v>
      </c>
      <c r="K375" t="str">
        <f t="shared" si="47"/>
        <v>og=(Reed*) OR oo=(Reed*) OR ad=(Reed*)</v>
      </c>
      <c r="L375" t="str">
        <f t="shared" si="48"/>
        <v>og=(Reed*) OR oo=(Reed*) OR ad=(Reed*)</v>
      </c>
    </row>
    <row r="376" spans="1:12">
      <c r="A376">
        <v>51718</v>
      </c>
      <c r="B376" t="s">
        <v>478</v>
      </c>
      <c r="C376" t="s">
        <v>566</v>
      </c>
      <c r="D376">
        <f t="shared" si="56"/>
        <v>5</v>
      </c>
      <c r="E376" t="str">
        <f t="shared" si="57"/>
        <v>Angeles</v>
      </c>
      <c r="F376" t="s">
        <v>1036</v>
      </c>
      <c r="G376" t="s">
        <v>872</v>
      </c>
      <c r="H376" t="str">
        <f>TRIM(LEFT(SUBSTITUTE(G376,",",REPT(" ",99)),99))</f>
        <v>univ* California</v>
      </c>
      <c r="I376" t="str">
        <f>TRIM(RIGHT(SUBSTITUTE(C376,",",REPT(" ",99)),99))</f>
        <v>Los Angeles</v>
      </c>
      <c r="J376" t="str">
        <f>IF(MID(TRIM(H376),LEN(TRIM(H376)),1)="*",TRIM(H376),TRIM(H376)&amp;"*")</f>
        <v>univ* California*</v>
      </c>
      <c r="K376" t="str">
        <f t="shared" si="47"/>
        <v>og=(univ* California*) OR oo=(univ* California*) OR ad=(univ* California*)</v>
      </c>
      <c r="L376" t="str">
        <f t="shared" si="48"/>
        <v>(og=(univ* California*) OR oo=(univ* California*) OR ad=(univ* California*)) AND ad=(Los Angeles)</v>
      </c>
    </row>
    <row r="377" spans="1:12">
      <c r="A377">
        <v>51718</v>
      </c>
      <c r="B377" t="s">
        <v>477</v>
      </c>
      <c r="C377" t="s">
        <v>340</v>
      </c>
      <c r="D377">
        <f t="shared" si="56"/>
        <v>2</v>
      </c>
      <c r="E377" t="str">
        <f t="shared" si="57"/>
        <v>University</v>
      </c>
      <c r="F377">
        <v>1</v>
      </c>
      <c r="G377" t="s">
        <v>932</v>
      </c>
      <c r="J377" t="str">
        <f>IF(MID(TRIM(G377),LEN(TRIM(G377)),1)="*",TRIM(G377),TRIM(G377)&amp;"*")</f>
        <v>Yale*</v>
      </c>
      <c r="K377" t="str">
        <f t="shared" si="47"/>
        <v>og=(Yale*) OR oo=(Yale*) OR ad=(Yale*)</v>
      </c>
      <c r="L377" t="str">
        <f t="shared" si="48"/>
        <v>og=(Yale*) OR oo=(Yale*) OR ad=(Yale*)</v>
      </c>
    </row>
    <row r="378" spans="1:12">
      <c r="A378">
        <v>52058</v>
      </c>
      <c r="B378" t="s">
        <v>594</v>
      </c>
      <c r="C378" t="s">
        <v>594</v>
      </c>
      <c r="D378">
        <f t="shared" si="56"/>
        <v>4</v>
      </c>
      <c r="E378" t="str">
        <f t="shared" si="57"/>
        <v>College</v>
      </c>
      <c r="F378">
        <v>2</v>
      </c>
      <c r="G378" t="s">
        <v>1006</v>
      </c>
      <c r="J378" t="str">
        <f>IF(MID(TRIM(G378),LEN(TRIM(G378)),1)="*",TRIM(G378),TRIM(G378)&amp;"*")</f>
        <v>Mount Saint Mary's*</v>
      </c>
      <c r="K378" t="str">
        <f t="shared" si="47"/>
        <v>og=(Mount Saint Mary's*) OR oo=(Mount Saint Mary's*) OR ad=(Mount Saint Mary's*)</v>
      </c>
      <c r="L378" t="str">
        <f t="shared" si="48"/>
        <v>og=(Mount Saint Mary's*) OR oo=(Mount Saint Mary's*) OR ad=(Mount Saint Mary's*)</v>
      </c>
    </row>
    <row r="379" spans="1:12">
      <c r="A379">
        <v>52058</v>
      </c>
      <c r="B379" t="s">
        <v>479</v>
      </c>
      <c r="C379" t="s">
        <v>479</v>
      </c>
      <c r="D379">
        <f t="shared" si="56"/>
        <v>4</v>
      </c>
      <c r="E379" t="str">
        <f t="shared" si="57"/>
        <v>Irvine</v>
      </c>
      <c r="F379" t="s">
        <v>1036</v>
      </c>
      <c r="G379" t="s">
        <v>873</v>
      </c>
      <c r="H379" t="str">
        <f>TRIM(LEFT(SUBSTITUTE(G379,",",REPT(" ",99)),99))</f>
        <v>univ* California</v>
      </c>
      <c r="I379" t="str">
        <f>TRIM(RIGHT(SUBSTITUTE(C379,",",REPT(" ",99)),99))</f>
        <v>Irvine</v>
      </c>
      <c r="J379" t="str">
        <f>IF(MID(TRIM(H379),LEN(TRIM(H379)),1)="*",TRIM(H379),TRIM(H379)&amp;"*")</f>
        <v>univ* California*</v>
      </c>
      <c r="K379" t="str">
        <f t="shared" si="47"/>
        <v>og=(univ* California*) OR oo=(univ* California*) OR ad=(univ* California*)</v>
      </c>
      <c r="L379" t="str">
        <f t="shared" si="48"/>
        <v>(og=(univ* California*) OR oo=(univ* California*) OR ad=(univ* California*)) AND ad=(Irvine)</v>
      </c>
    </row>
    <row r="380" spans="1:12">
      <c r="A380">
        <v>52058</v>
      </c>
      <c r="B380" t="s">
        <v>648</v>
      </c>
      <c r="C380" s="6" t="s">
        <v>566</v>
      </c>
      <c r="D380">
        <f t="shared" si="56"/>
        <v>5</v>
      </c>
      <c r="E380" t="str">
        <f t="shared" si="57"/>
        <v>Angeles</v>
      </c>
      <c r="F380" t="s">
        <v>1036</v>
      </c>
      <c r="G380" s="6" t="s">
        <v>872</v>
      </c>
      <c r="H380" t="str">
        <f>TRIM(LEFT(SUBSTITUTE(G380,",",REPT(" ",99)),99))</f>
        <v>univ* California</v>
      </c>
      <c r="I380" t="str">
        <f>TRIM(RIGHT(SUBSTITUTE(C380,",",REPT(" ",99)),99))</f>
        <v>Los Angeles</v>
      </c>
      <c r="J380" t="str">
        <f>IF(MID(TRIM(H380),LEN(TRIM(H380)),1)="*",TRIM(H380),TRIM(H380)&amp;"*")</f>
        <v>univ* California*</v>
      </c>
      <c r="K380" t="str">
        <f t="shared" si="47"/>
        <v>og=(univ* California*) OR oo=(univ* California*) OR ad=(univ* California*)</v>
      </c>
      <c r="L380" t="str">
        <f t="shared" si="48"/>
        <v>(og=(univ* California*) OR oo=(univ* California*) OR ad=(univ* California*)) AND ad=(Los Angeles)</v>
      </c>
    </row>
    <row r="381" spans="1:12">
      <c r="A381">
        <v>52058</v>
      </c>
      <c r="B381" t="s">
        <v>301</v>
      </c>
      <c r="C381" t="s">
        <v>301</v>
      </c>
      <c r="D381">
        <f t="shared" si="56"/>
        <v>3</v>
      </c>
      <c r="E381" t="str">
        <f t="shared" si="57"/>
        <v>Rochester</v>
      </c>
      <c r="F381">
        <v>3</v>
      </c>
      <c r="G381" t="s">
        <v>874</v>
      </c>
      <c r="J381" t="str">
        <f t="shared" ref="J381:J392" si="58">IF(MID(TRIM(G381),LEN(TRIM(G381)),1)="*",TRIM(G381),TRIM(G381)&amp;"*")</f>
        <v>univ* Rochester*</v>
      </c>
      <c r="K381" t="str">
        <f t="shared" si="47"/>
        <v>og=(univ* Rochester*) OR oo=(univ* Rochester*) OR ad=(univ* Rochester*)</v>
      </c>
      <c r="L381" t="str">
        <f t="shared" si="48"/>
        <v>og=(univ* Rochester*) OR oo=(univ* Rochester*) OR ad=(univ* Rochester*)</v>
      </c>
    </row>
    <row r="382" spans="1:12">
      <c r="A382">
        <v>52327</v>
      </c>
      <c r="B382" t="s">
        <v>94</v>
      </c>
      <c r="C382" t="s">
        <v>94</v>
      </c>
      <c r="D382">
        <f t="shared" si="56"/>
        <v>2</v>
      </c>
      <c r="E382" t="str">
        <f t="shared" si="57"/>
        <v>University</v>
      </c>
      <c r="F382">
        <v>1</v>
      </c>
      <c r="G382" t="s">
        <v>929</v>
      </c>
      <c r="J382" t="str">
        <f t="shared" si="58"/>
        <v>Cornell*</v>
      </c>
      <c r="K382" t="str">
        <f t="shared" si="47"/>
        <v>og=(Cornell*) OR oo=(Cornell*) OR ad=(Cornell*)</v>
      </c>
      <c r="L382" t="str">
        <f t="shared" si="48"/>
        <v>og=(Cornell*) OR oo=(Cornell*) OR ad=(Cornell*)</v>
      </c>
    </row>
    <row r="383" spans="1:12">
      <c r="A383">
        <v>52327</v>
      </c>
      <c r="B383" t="s">
        <v>444</v>
      </c>
      <c r="C383" t="s">
        <v>444</v>
      </c>
      <c r="D383">
        <f t="shared" si="56"/>
        <v>2</v>
      </c>
      <c r="E383" t="str">
        <f t="shared" si="57"/>
        <v>College</v>
      </c>
      <c r="F383">
        <v>2</v>
      </c>
      <c r="G383" t="s">
        <v>1007</v>
      </c>
      <c r="J383" t="str">
        <f t="shared" si="58"/>
        <v>Emerson*</v>
      </c>
      <c r="K383" t="str">
        <f t="shared" si="47"/>
        <v>og=(Emerson*) OR oo=(Emerson*) OR ad=(Emerson*)</v>
      </c>
      <c r="L383" t="str">
        <f t="shared" si="48"/>
        <v>og=(Emerson*) OR oo=(Emerson*) OR ad=(Emerson*)</v>
      </c>
    </row>
    <row r="384" spans="1:12">
      <c r="A384">
        <v>52327</v>
      </c>
      <c r="B384" t="s">
        <v>445</v>
      </c>
      <c r="C384" t="s">
        <v>445</v>
      </c>
      <c r="D384">
        <f t="shared" si="56"/>
        <v>2</v>
      </c>
      <c r="E384" t="str">
        <f t="shared" si="57"/>
        <v>College</v>
      </c>
      <c r="F384">
        <v>2</v>
      </c>
      <c r="G384" t="s">
        <v>1008</v>
      </c>
      <c r="J384" t="str">
        <f t="shared" si="58"/>
        <v>Fisher*</v>
      </c>
      <c r="K384" t="str">
        <f t="shared" si="47"/>
        <v>og=(Fisher*) OR oo=(Fisher*) OR ad=(Fisher*)</v>
      </c>
      <c r="L384" t="str">
        <f t="shared" si="48"/>
        <v>og=(Fisher*) OR oo=(Fisher*) OR ad=(Fisher*)</v>
      </c>
    </row>
    <row r="385" spans="1:12">
      <c r="A385">
        <v>52327</v>
      </c>
      <c r="B385" t="s">
        <v>595</v>
      </c>
      <c r="C385" t="s">
        <v>595</v>
      </c>
      <c r="D385">
        <f t="shared" si="56"/>
        <v>4</v>
      </c>
      <c r="E385" t="str">
        <f t="shared" si="57"/>
        <v>University</v>
      </c>
      <c r="F385">
        <v>1</v>
      </c>
      <c r="G385" t="s">
        <v>1009</v>
      </c>
      <c r="J385" t="str">
        <f t="shared" si="58"/>
        <v>Texas A&amp;M International*</v>
      </c>
      <c r="K385" t="str">
        <f t="shared" si="47"/>
        <v>og=(Texas A&amp;M International*) OR oo=(Texas A&amp;M International*) OR ad=(Texas A&amp;M International*)</v>
      </c>
      <c r="L385" t="str">
        <f t="shared" si="48"/>
        <v>og=(Texas A&amp;M International*) OR oo=(Texas A&amp;M International*) OR ad=(Texas A&amp;M International*)</v>
      </c>
    </row>
    <row r="386" spans="1:12">
      <c r="A386">
        <v>52327</v>
      </c>
      <c r="B386" t="s">
        <v>480</v>
      </c>
      <c r="C386" t="s">
        <v>480</v>
      </c>
      <c r="D386">
        <f t="shared" si="56"/>
        <v>3</v>
      </c>
      <c r="E386" t="str">
        <f t="shared" si="57"/>
        <v>Baltimore</v>
      </c>
      <c r="F386">
        <v>3</v>
      </c>
      <c r="G386" t="s">
        <v>875</v>
      </c>
      <c r="J386" t="str">
        <f t="shared" si="58"/>
        <v>univ* Baltimore*</v>
      </c>
      <c r="K386" t="str">
        <f t="shared" ref="K386:K449" si="59">"og=("&amp;J386&amp;") OR oo=("&amp;J386&amp;") OR ad=("&amp;J386&amp;")"</f>
        <v>og=(univ* Baltimore*) OR oo=(univ* Baltimore*) OR ad=(univ* Baltimore*)</v>
      </c>
      <c r="L386" t="str">
        <f t="shared" ref="L386:L449" si="60">IF(I386="",K386,"(" &amp; K386 &amp; ") AND ad=(" &amp; I386 &amp; ")")</f>
        <v>og=(univ* Baltimore*) OR oo=(univ* Baltimore*) OR ad=(univ* Baltimore*)</v>
      </c>
    </row>
    <row r="387" spans="1:12">
      <c r="A387">
        <v>52327</v>
      </c>
      <c r="B387" t="s">
        <v>284</v>
      </c>
      <c r="C387" t="s">
        <v>284</v>
      </c>
      <c r="D387">
        <f t="shared" si="56"/>
        <v>3</v>
      </c>
      <c r="E387" t="str">
        <f t="shared" si="57"/>
        <v>Kansas</v>
      </c>
      <c r="F387">
        <v>3</v>
      </c>
      <c r="G387" t="s">
        <v>876</v>
      </c>
      <c r="J387" t="str">
        <f t="shared" si="58"/>
        <v>univ* Kansas*</v>
      </c>
      <c r="K387" t="str">
        <f t="shared" si="59"/>
        <v>og=(univ* Kansas*) OR oo=(univ* Kansas*) OR ad=(univ* Kansas*)</v>
      </c>
      <c r="L387" t="str">
        <f t="shared" si="60"/>
        <v>og=(univ* Kansas*) OR oo=(univ* Kansas*) OR ad=(univ* Kansas*)</v>
      </c>
    </row>
    <row r="388" spans="1:12">
      <c r="A388">
        <v>52327</v>
      </c>
      <c r="B388" t="s">
        <v>443</v>
      </c>
      <c r="C388" t="s">
        <v>521</v>
      </c>
      <c r="D388">
        <f t="shared" si="56"/>
        <v>3</v>
      </c>
      <c r="E388" t="str">
        <f t="shared" si="57"/>
        <v>Massachusetts</v>
      </c>
      <c r="F388">
        <v>3</v>
      </c>
      <c r="G388" t="s">
        <v>851</v>
      </c>
      <c r="J388" t="str">
        <f t="shared" si="58"/>
        <v>univ* Massachusetts*</v>
      </c>
      <c r="K388" t="str">
        <f t="shared" si="59"/>
        <v>og=(univ* Massachusetts*) OR oo=(univ* Massachusetts*) OR ad=(univ* Massachusetts*)</v>
      </c>
      <c r="L388" t="str">
        <f t="shared" si="60"/>
        <v>og=(univ* Massachusetts*) OR oo=(univ* Massachusetts*) OR ad=(univ* Massachusetts*)</v>
      </c>
    </row>
    <row r="389" spans="1:12">
      <c r="A389">
        <v>52432</v>
      </c>
      <c r="B389" t="s">
        <v>560</v>
      </c>
      <c r="C389" t="s">
        <v>560</v>
      </c>
      <c r="D389">
        <f t="shared" si="56"/>
        <v>4</v>
      </c>
      <c r="E389" t="str">
        <f t="shared" si="57"/>
        <v>College</v>
      </c>
      <c r="F389">
        <v>2</v>
      </c>
      <c r="G389" t="s">
        <v>1010</v>
      </c>
      <c r="J389" t="str">
        <f t="shared" si="58"/>
        <v>El Paso Community*</v>
      </c>
      <c r="K389" t="str">
        <f t="shared" si="59"/>
        <v>og=(El Paso Community*) OR oo=(El Paso Community*) OR ad=(El Paso Community*)</v>
      </c>
      <c r="L389" t="str">
        <f t="shared" si="60"/>
        <v>og=(El Paso Community*) OR oo=(El Paso Community*) OR ad=(El Paso Community*)</v>
      </c>
    </row>
    <row r="390" spans="1:12">
      <c r="A390">
        <v>52432</v>
      </c>
      <c r="B390" t="s">
        <v>558</v>
      </c>
      <c r="C390" t="s">
        <v>558</v>
      </c>
      <c r="D390">
        <f t="shared" si="56"/>
        <v>4</v>
      </c>
      <c r="E390" t="str">
        <f t="shared" si="57"/>
        <v>University</v>
      </c>
      <c r="F390">
        <v>1</v>
      </c>
      <c r="G390" t="s">
        <v>1011</v>
      </c>
      <c r="J390" t="str">
        <f t="shared" si="58"/>
        <v>Fort Hays State*</v>
      </c>
      <c r="K390" t="str">
        <f t="shared" si="59"/>
        <v>og=(Fort Hays State*) OR oo=(Fort Hays State*) OR ad=(Fort Hays State*)</v>
      </c>
      <c r="L390" t="str">
        <f t="shared" si="60"/>
        <v>og=(Fort Hays State*) OR oo=(Fort Hays State*) OR ad=(Fort Hays State*)</v>
      </c>
    </row>
    <row r="391" spans="1:12">
      <c r="A391">
        <v>52432</v>
      </c>
      <c r="B391" t="s">
        <v>667</v>
      </c>
      <c r="C391" t="s">
        <v>667</v>
      </c>
      <c r="D391">
        <f t="shared" si="56"/>
        <v>4</v>
      </c>
      <c r="E391" t="str">
        <f t="shared" si="57"/>
        <v>Station</v>
      </c>
      <c r="F391">
        <v>0</v>
      </c>
      <c r="G391" t="s">
        <v>667</v>
      </c>
      <c r="J391" t="str">
        <f t="shared" si="58"/>
        <v>Indio Mountains Research Station*</v>
      </c>
      <c r="K391" t="str">
        <f t="shared" si="59"/>
        <v>og=(Indio Mountains Research Station*) OR oo=(Indio Mountains Research Station*) OR ad=(Indio Mountains Research Station*)</v>
      </c>
      <c r="L391" t="str">
        <f t="shared" si="60"/>
        <v>og=(Indio Mountains Research Station*) OR oo=(Indio Mountains Research Station*) OR ad=(Indio Mountains Research Station*)</v>
      </c>
    </row>
    <row r="392" spans="1:12">
      <c r="A392">
        <v>52432</v>
      </c>
      <c r="B392" t="s">
        <v>559</v>
      </c>
      <c r="C392" t="s">
        <v>559</v>
      </c>
      <c r="D392">
        <f t="shared" si="56"/>
        <v>3</v>
      </c>
      <c r="E392" t="str">
        <f t="shared" si="57"/>
        <v>University</v>
      </c>
      <c r="F392">
        <v>1</v>
      </c>
      <c r="G392" t="s">
        <v>1012</v>
      </c>
      <c r="J392" t="str">
        <f t="shared" si="58"/>
        <v>Texas A&amp;M*</v>
      </c>
      <c r="K392" t="str">
        <f t="shared" si="59"/>
        <v>og=(Texas A&amp;M*) OR oo=(Texas A&amp;M*) OR ad=(Texas A&amp;M*)</v>
      </c>
      <c r="L392" t="str">
        <f t="shared" si="60"/>
        <v>og=(Texas A&amp;M*) OR oo=(Texas A&amp;M*) OR ad=(Texas A&amp;M*)</v>
      </c>
    </row>
    <row r="393" spans="1:12">
      <c r="A393">
        <v>52432</v>
      </c>
      <c r="B393" t="s">
        <v>596</v>
      </c>
      <c r="C393" t="s">
        <v>714</v>
      </c>
      <c r="D393">
        <f t="shared" si="56"/>
        <v>5</v>
      </c>
      <c r="E393" t="str">
        <f t="shared" si="57"/>
        <v>Paso</v>
      </c>
      <c r="F393" t="s">
        <v>1036</v>
      </c>
      <c r="G393" t="s">
        <v>877</v>
      </c>
      <c r="H393" t="str">
        <f>TRIM(LEFT(SUBSTITUTE(G393,",",REPT(" ",99)),99))</f>
        <v>univ* Texas</v>
      </c>
      <c r="I393" t="str">
        <f>TRIM(RIGHT(SUBSTITUTE(C393,",",REPT(" ",99)),99))</f>
        <v>El Paso</v>
      </c>
      <c r="J393" t="str">
        <f>IF(MID(TRIM(H393),LEN(TRIM(H393)),1)="*",TRIM(H393),TRIM(H393)&amp;"*")</f>
        <v>univ* Texas*</v>
      </c>
      <c r="K393" t="str">
        <f t="shared" si="59"/>
        <v>og=(univ* Texas*) OR oo=(univ* Texas*) OR ad=(univ* Texas*)</v>
      </c>
      <c r="L393" t="str">
        <f t="shared" si="60"/>
        <v>(og=(univ* Texas*) OR oo=(univ* Texas*) OR ad=(univ* Texas*)) AND ad=(El Paso)</v>
      </c>
    </row>
    <row r="394" spans="1:12">
      <c r="A394">
        <v>52733</v>
      </c>
      <c r="B394" t="s">
        <v>48</v>
      </c>
      <c r="C394" t="s">
        <v>681</v>
      </c>
      <c r="D394">
        <f t="shared" si="56"/>
        <v>4</v>
      </c>
      <c r="E394" t="str">
        <f t="shared" si="57"/>
        <v>Fullerton</v>
      </c>
      <c r="F394" t="s">
        <v>1033</v>
      </c>
      <c r="G394" t="s">
        <v>681</v>
      </c>
      <c r="H394" t="s">
        <v>1032</v>
      </c>
      <c r="I394" t="str">
        <f>TRIM(RIGHT(SUBSTITUTE(C394,",",REPT(" ",99)),99))</f>
        <v>Fullerton</v>
      </c>
      <c r="J394" t="str">
        <f>IF(MID(TRIM(H394),LEN(TRIM(H394)),1)="*",TRIM(H394),TRIM(H394)&amp;"*")</f>
        <v>California State Univ*</v>
      </c>
      <c r="K394" t="str">
        <f t="shared" si="59"/>
        <v>og=(California State Univ*) OR oo=(California State Univ*) OR ad=(California State Univ*)</v>
      </c>
      <c r="L394" t="str">
        <f t="shared" si="60"/>
        <v>(og=(California State Univ*) OR oo=(California State Univ*) OR ad=(California State Univ*)) AND ad=(Fullerton)</v>
      </c>
    </row>
    <row r="395" spans="1:12">
      <c r="A395">
        <v>52733</v>
      </c>
      <c r="B395" t="s">
        <v>395</v>
      </c>
      <c r="C395" t="s">
        <v>395</v>
      </c>
      <c r="D395">
        <f t="shared" si="56"/>
        <v>4</v>
      </c>
      <c r="E395" t="str">
        <f t="shared" si="57"/>
        <v>Technology</v>
      </c>
      <c r="F395">
        <v>0</v>
      </c>
      <c r="G395" t="s">
        <v>395</v>
      </c>
      <c r="J395" t="str">
        <f>IF(MID(TRIM(G395),LEN(TRIM(G395)),1)="*",TRIM(G395),TRIM(G395)&amp;"*")</f>
        <v>Georgia Institute of Technology*</v>
      </c>
      <c r="K395" t="str">
        <f t="shared" si="59"/>
        <v>og=(Georgia Institute of Technology*) OR oo=(Georgia Institute of Technology*) OR ad=(Georgia Institute of Technology*)</v>
      </c>
      <c r="L395" t="str">
        <f t="shared" si="60"/>
        <v>og=(Georgia Institute of Technology*) OR oo=(Georgia Institute of Technology*) OR ad=(Georgia Institute of Technology*)</v>
      </c>
    </row>
    <row r="396" spans="1:12">
      <c r="A396">
        <v>52733</v>
      </c>
      <c r="B396" t="s">
        <v>396</v>
      </c>
      <c r="C396" t="s">
        <v>396</v>
      </c>
      <c r="D396">
        <f t="shared" si="56"/>
        <v>3</v>
      </c>
      <c r="E396" t="str">
        <f t="shared" si="57"/>
        <v>University</v>
      </c>
      <c r="F396">
        <v>1</v>
      </c>
      <c r="G396" t="s">
        <v>1013</v>
      </c>
      <c r="J396" t="str">
        <f>IF(MID(TRIM(G396),LEN(TRIM(G396)),1)="*",TRIM(G396),TRIM(G396)&amp;"*")</f>
        <v>Michigan State *</v>
      </c>
      <c r="K396" t="str">
        <f t="shared" si="59"/>
        <v>og=(Michigan State *) OR oo=(Michigan State *) OR ad=(Michigan State *)</v>
      </c>
      <c r="L396" t="str">
        <f t="shared" si="60"/>
        <v>og=(Michigan State *) OR oo=(Michigan State *) OR ad=(Michigan State *)</v>
      </c>
    </row>
    <row r="397" spans="1:12">
      <c r="A397">
        <v>52733</v>
      </c>
      <c r="B397" t="s">
        <v>397</v>
      </c>
      <c r="C397" t="s">
        <v>397</v>
      </c>
      <c r="D397">
        <f t="shared" si="56"/>
        <v>2</v>
      </c>
      <c r="E397" t="str">
        <f t="shared" si="57"/>
        <v>University</v>
      </c>
      <c r="F397">
        <v>1</v>
      </c>
      <c r="G397" t="s">
        <v>1014</v>
      </c>
      <c r="J397" t="str">
        <f>IF(MID(TRIM(G397),LEN(TRIM(G397)),1)="*",TRIM(G397),TRIM(G397)&amp;"*")</f>
        <v>Yonsei*</v>
      </c>
      <c r="K397" t="str">
        <f t="shared" si="59"/>
        <v>og=(Yonsei*) OR oo=(Yonsei*) OR ad=(Yonsei*)</v>
      </c>
      <c r="L397" t="str">
        <f t="shared" si="60"/>
        <v>og=(Yonsei*) OR oo=(Yonsei*) OR ad=(Yonsei*)</v>
      </c>
    </row>
    <row r="398" spans="1:12">
      <c r="A398">
        <v>53347</v>
      </c>
      <c r="B398" t="s">
        <v>562</v>
      </c>
      <c r="C398" s="5" t="s">
        <v>793</v>
      </c>
      <c r="D398">
        <f t="shared" si="56"/>
        <v>5</v>
      </c>
      <c r="E398" t="str">
        <f t="shared" si="57"/>
        <v>York</v>
      </c>
      <c r="F398">
        <v>0</v>
      </c>
      <c r="G398" s="5" t="s">
        <v>793</v>
      </c>
      <c r="H398" s="5"/>
      <c r="I398" s="5"/>
      <c r="J398" t="str">
        <f>IF(MID(TRIM(G398),LEN(TRIM(G398)),1)="*",TRIM(G398),TRIM(G398)&amp;"*")</f>
        <v>City University of New York*</v>
      </c>
      <c r="K398" t="str">
        <f t="shared" si="59"/>
        <v>og=(City University of New York*) OR oo=(City University of New York*) OR ad=(City University of New York*)</v>
      </c>
      <c r="L398" t="str">
        <f t="shared" si="60"/>
        <v>og=(City University of New York*) OR oo=(City University of New York*) OR ad=(City University of New York*)</v>
      </c>
    </row>
    <row r="399" spans="1:12">
      <c r="A399">
        <v>53347</v>
      </c>
      <c r="B399" t="s">
        <v>562</v>
      </c>
      <c r="C399" s="8" t="s">
        <v>793</v>
      </c>
      <c r="D399">
        <f t="shared" si="56"/>
        <v>5</v>
      </c>
      <c r="E399" t="str">
        <f t="shared" si="57"/>
        <v>York</v>
      </c>
      <c r="F399">
        <v>0</v>
      </c>
      <c r="G399" s="8" t="s">
        <v>1030</v>
      </c>
      <c r="H399" s="5"/>
      <c r="I399" s="5"/>
      <c r="J399" t="str">
        <f>IF(MID(TRIM(G399),LEN(TRIM(G399)),1)="*",TRIM(G399),TRIM(G399)&amp;"*")</f>
        <v>CUNY*</v>
      </c>
      <c r="K399" t="str">
        <f t="shared" si="59"/>
        <v>og=(CUNY*) OR oo=(CUNY*) OR ad=(CUNY*)</v>
      </c>
      <c r="L399" t="str">
        <f t="shared" si="60"/>
        <v>og=(CUNY*) OR oo=(CUNY*) OR ad=(CUNY*)</v>
      </c>
    </row>
    <row r="400" spans="1:12">
      <c r="A400">
        <v>53347</v>
      </c>
      <c r="B400" t="s">
        <v>561</v>
      </c>
      <c r="C400" t="s">
        <v>682</v>
      </c>
      <c r="D400">
        <f t="shared" si="56"/>
        <v>6</v>
      </c>
      <c r="E400" t="str">
        <f t="shared" si="57"/>
        <v>Bronx</v>
      </c>
      <c r="F400">
        <v>5</v>
      </c>
      <c r="G400" t="s">
        <v>682</v>
      </c>
      <c r="H400" t="str">
        <f>TRIM(LEFT(SUBSTITUTE(G400,",",REPT(" ",99)),99))</f>
        <v>City University of New York</v>
      </c>
      <c r="I400" t="str">
        <f>TRIM(RIGHT(SUBSTITUTE(C400,",",REPT(" ",99)),99))</f>
        <v>Bronx</v>
      </c>
      <c r="J400" t="str">
        <f>IF(MID(TRIM(H400),LEN(TRIM(H400)),1)="*",TRIM(H400),TRIM(H400)&amp;"*")</f>
        <v>City University of New York*</v>
      </c>
      <c r="K400" t="str">
        <f t="shared" si="59"/>
        <v>og=(City University of New York*) OR oo=(City University of New York*) OR ad=(City University of New York*)</v>
      </c>
      <c r="L400" t="str">
        <f t="shared" si="60"/>
        <v>(og=(City University of New York*) OR oo=(City University of New York*) OR ad=(City University of New York*)) AND ad=(Bronx)</v>
      </c>
    </row>
    <row r="401" spans="1:12">
      <c r="A401">
        <v>53347</v>
      </c>
      <c r="B401" t="s">
        <v>561</v>
      </c>
      <c r="C401" t="s">
        <v>682</v>
      </c>
      <c r="D401">
        <v>6</v>
      </c>
      <c r="E401" t="s">
        <v>798</v>
      </c>
      <c r="F401">
        <v>5</v>
      </c>
      <c r="G401" s="8" t="s">
        <v>682</v>
      </c>
      <c r="H401" t="s">
        <v>1030</v>
      </c>
      <c r="I401" t="str">
        <f>TRIM(RIGHT(SUBSTITUTE(C401,",",REPT(" ",99)),99))</f>
        <v>Bronx</v>
      </c>
      <c r="J401" t="str">
        <f>IF(MID(TRIM(H401),LEN(TRIM(H401)),1)="*",TRIM(H401),TRIM(H401)&amp;"*")</f>
        <v>CUNY*</v>
      </c>
      <c r="K401" t="str">
        <f t="shared" si="59"/>
        <v>og=(CUNY*) OR oo=(CUNY*) OR ad=(CUNY*)</v>
      </c>
      <c r="L401" t="str">
        <f t="shared" si="60"/>
        <v>(og=(CUNY*) OR oo=(CUNY*) OR ad=(CUNY*)) AND ad=(Bronx)</v>
      </c>
    </row>
    <row r="402" spans="1:12">
      <c r="A402">
        <v>53347</v>
      </c>
      <c r="B402" t="s">
        <v>188</v>
      </c>
      <c r="C402" t="s">
        <v>188</v>
      </c>
      <c r="D402">
        <f t="shared" ref="D402:D423" si="61">LEN(TRIM(C402))-LEN(SUBSTITUTE(C402," ",""))+1</f>
        <v>3</v>
      </c>
      <c r="E402" t="str">
        <f t="shared" ref="E402:E423" si="62">TRIM(RIGHT(SUBSTITUTE(C402," ",REPT(" ",99)),99))</f>
        <v>University</v>
      </c>
      <c r="F402">
        <v>1</v>
      </c>
      <c r="G402" t="s">
        <v>996</v>
      </c>
      <c r="J402" t="str">
        <f>IF(MID(TRIM(G402),LEN(TRIM(G402)),1)="*",TRIM(G402),TRIM(G402)&amp;"*")</f>
        <v>New York*</v>
      </c>
      <c r="K402" t="str">
        <f t="shared" si="59"/>
        <v>og=(New York*) OR oo=(New York*) OR ad=(New York*)</v>
      </c>
      <c r="L402" t="str">
        <f t="shared" si="60"/>
        <v>og=(New York*) OR oo=(New York*) OR ad=(New York*)</v>
      </c>
    </row>
    <row r="403" spans="1:12">
      <c r="A403">
        <v>53572</v>
      </c>
      <c r="B403" t="s">
        <v>36</v>
      </c>
      <c r="C403" t="s">
        <v>36</v>
      </c>
      <c r="D403">
        <f t="shared" si="61"/>
        <v>3</v>
      </c>
      <c r="E403" t="str">
        <f t="shared" si="62"/>
        <v>University</v>
      </c>
      <c r="F403">
        <v>1</v>
      </c>
      <c r="G403" t="s">
        <v>979</v>
      </c>
      <c r="J403" t="str">
        <f>IF(MID(TRIM(G403),LEN(TRIM(G403)),1)="*",TRIM(G403),TRIM(G403)&amp;"*")</f>
        <v>Brigham Young*</v>
      </c>
      <c r="K403" t="str">
        <f t="shared" si="59"/>
        <v>og=(Brigham Young*) OR oo=(Brigham Young*) OR ad=(Brigham Young*)</v>
      </c>
      <c r="L403" t="str">
        <f t="shared" si="60"/>
        <v>og=(Brigham Young*) OR oo=(Brigham Young*) OR ad=(Brigham Young*)</v>
      </c>
    </row>
    <row r="404" spans="1:12">
      <c r="A404">
        <v>53572</v>
      </c>
      <c r="B404" t="s">
        <v>447</v>
      </c>
      <c r="C404" t="s">
        <v>447</v>
      </c>
      <c r="D404">
        <f t="shared" si="61"/>
        <v>2</v>
      </c>
      <c r="E404" t="str">
        <f t="shared" si="62"/>
        <v>University</v>
      </c>
      <c r="F404">
        <v>1</v>
      </c>
      <c r="G404" t="s">
        <v>1015</v>
      </c>
      <c r="J404" t="str">
        <f>IF(MID(TRIM(G404),LEN(TRIM(G404)),1)="*",TRIM(G404),TRIM(G404)&amp;"*")</f>
        <v>Hangzhou*</v>
      </c>
      <c r="K404" t="str">
        <f t="shared" si="59"/>
        <v>og=(Hangzhou*) OR oo=(Hangzhou*) OR ad=(Hangzhou*)</v>
      </c>
      <c r="L404" t="str">
        <f t="shared" si="60"/>
        <v>og=(Hangzhou*) OR oo=(Hangzhou*) OR ad=(Hangzhou*)</v>
      </c>
    </row>
    <row r="405" spans="1:12">
      <c r="A405">
        <v>53572</v>
      </c>
      <c r="B405" t="s">
        <v>599</v>
      </c>
      <c r="C405" t="s">
        <v>713</v>
      </c>
      <c r="D405">
        <f t="shared" si="61"/>
        <v>5</v>
      </c>
      <c r="E405" t="str">
        <f t="shared" si="62"/>
        <v>Antonio</v>
      </c>
      <c r="F405" t="s">
        <v>1036</v>
      </c>
      <c r="G405" t="s">
        <v>878</v>
      </c>
      <c r="H405" t="str">
        <f>TRIM(LEFT(SUBSTITUTE(G405,",",REPT(" ",99)),99))</f>
        <v>univ* Texas</v>
      </c>
      <c r="I405" t="str">
        <f>TRIM(RIGHT(SUBSTITUTE(C405,",",REPT(" ",99)),99))</f>
        <v>San Antonio</v>
      </c>
      <c r="J405" t="str">
        <f>IF(MID(TRIM(H405),LEN(TRIM(H405)),1)="*",TRIM(H405),TRIM(H405)&amp;"*")</f>
        <v>univ* Texas*</v>
      </c>
      <c r="K405" t="str">
        <f t="shared" si="59"/>
        <v>og=(univ* Texas*) OR oo=(univ* Texas*) OR ad=(univ* Texas*)</v>
      </c>
      <c r="L405" t="str">
        <f t="shared" si="60"/>
        <v>(og=(univ* Texas*) OR oo=(univ* Texas*) OR ad=(univ* Texas*)) AND ad=(San Antonio)</v>
      </c>
    </row>
    <row r="406" spans="1:12">
      <c r="A406">
        <v>53572</v>
      </c>
      <c r="B406" t="s">
        <v>446</v>
      </c>
      <c r="C406" t="s">
        <v>446</v>
      </c>
      <c r="D406">
        <f t="shared" si="61"/>
        <v>2</v>
      </c>
      <c r="E406" t="str">
        <f t="shared" si="62"/>
        <v>University</v>
      </c>
      <c r="F406">
        <v>1</v>
      </c>
      <c r="G406" t="s">
        <v>1016</v>
      </c>
      <c r="J406" t="str">
        <f>IF(MID(TRIM(G406),LEN(TRIM(G406)),1)="*",TRIM(G406),TRIM(G406)&amp;"*")</f>
        <v>Yunnan*</v>
      </c>
      <c r="K406" t="str">
        <f t="shared" si="59"/>
        <v>og=(Yunnan*) OR oo=(Yunnan*) OR ad=(Yunnan*)</v>
      </c>
      <c r="L406" t="str">
        <f t="shared" si="60"/>
        <v>og=(Yunnan*) OR oo=(Yunnan*) OR ad=(Yunnan*)</v>
      </c>
    </row>
    <row r="407" spans="1:12">
      <c r="A407">
        <v>54076</v>
      </c>
      <c r="B407" t="s">
        <v>565</v>
      </c>
      <c r="C407" s="5" t="s">
        <v>691</v>
      </c>
      <c r="D407">
        <f t="shared" si="61"/>
        <v>3</v>
      </c>
      <c r="E407" t="str">
        <f t="shared" si="62"/>
        <v>University</v>
      </c>
      <c r="F407">
        <v>1</v>
      </c>
      <c r="G407" s="5" t="s">
        <v>1018</v>
      </c>
      <c r="H407" s="5"/>
      <c r="I407" s="5"/>
      <c r="J407" t="str">
        <f>IF(MID(TRIM(G407),LEN(TRIM(G407)),1)="*",TRIM(G407),TRIM(G407)&amp;"*")</f>
        <v>Australian National*</v>
      </c>
      <c r="K407" t="str">
        <f t="shared" si="59"/>
        <v>og=(Australian National*) OR oo=(Australian National*) OR ad=(Australian National*)</v>
      </c>
      <c r="L407" t="str">
        <f t="shared" si="60"/>
        <v>og=(Australian National*) OR oo=(Australian National*) OR ad=(Australian National*)</v>
      </c>
    </row>
    <row r="408" spans="1:12">
      <c r="A408">
        <v>54076</v>
      </c>
      <c r="B408" t="s">
        <v>563</v>
      </c>
      <c r="C408" t="s">
        <v>563</v>
      </c>
      <c r="D408">
        <f t="shared" si="61"/>
        <v>2</v>
      </c>
      <c r="E408" t="str">
        <f t="shared" si="62"/>
        <v>University</v>
      </c>
      <c r="F408">
        <v>1</v>
      </c>
      <c r="G408" t="s">
        <v>1017</v>
      </c>
      <c r="J408" t="str">
        <f>IF(MID(TRIM(G408),LEN(TRIM(G408)),1)="*",TRIM(G408),TRIM(G408)&amp;"*")</f>
        <v>Macquarie*</v>
      </c>
      <c r="K408" t="str">
        <f t="shared" si="59"/>
        <v>og=(Macquarie*) OR oo=(Macquarie*) OR ad=(Macquarie*)</v>
      </c>
      <c r="L408" t="str">
        <f t="shared" si="60"/>
        <v>og=(Macquarie*) OR oo=(Macquarie*) OR ad=(Macquarie*)</v>
      </c>
    </row>
    <row r="409" spans="1:12">
      <c r="A409">
        <v>54076</v>
      </c>
      <c r="B409" t="s">
        <v>267</v>
      </c>
      <c r="C409" t="s">
        <v>267</v>
      </c>
      <c r="D409">
        <f t="shared" si="61"/>
        <v>3</v>
      </c>
      <c r="E409" t="str">
        <f t="shared" si="62"/>
        <v>Arizona</v>
      </c>
      <c r="F409">
        <v>3</v>
      </c>
      <c r="G409" t="s">
        <v>879</v>
      </c>
      <c r="J409" t="str">
        <f>IF(MID(TRIM(G409),LEN(TRIM(G409)),1)="*",TRIM(G409),TRIM(G409)&amp;"*")</f>
        <v>univ* Arizona*</v>
      </c>
      <c r="K409" t="str">
        <f t="shared" si="59"/>
        <v>og=(univ* Arizona*) OR oo=(univ* Arizona*) OR ad=(univ* Arizona*)</v>
      </c>
      <c r="L409" t="str">
        <f t="shared" si="60"/>
        <v>og=(univ* Arizona*) OR oo=(univ* Arizona*) OR ad=(univ* Arizona*)</v>
      </c>
    </row>
    <row r="410" spans="1:12">
      <c r="A410">
        <v>54076</v>
      </c>
      <c r="B410" t="s">
        <v>564</v>
      </c>
      <c r="C410" t="s">
        <v>564</v>
      </c>
      <c r="D410">
        <f t="shared" si="61"/>
        <v>4</v>
      </c>
      <c r="E410" t="str">
        <f t="shared" si="62"/>
        <v>Davis</v>
      </c>
      <c r="F410" t="s">
        <v>1036</v>
      </c>
      <c r="G410" t="s">
        <v>880</v>
      </c>
      <c r="H410" t="str">
        <f>TRIM(LEFT(SUBSTITUTE(G410,",",REPT(" ",99)),99))</f>
        <v>univ* California</v>
      </c>
      <c r="I410" t="str">
        <f>TRIM(RIGHT(SUBSTITUTE(C410,",",REPT(" ",99)),99))</f>
        <v>Davis</v>
      </c>
      <c r="J410" t="str">
        <f>IF(MID(TRIM(H410),LEN(TRIM(H410)),1)="*",TRIM(H410),TRIM(H410)&amp;"*")</f>
        <v>univ* California*</v>
      </c>
      <c r="K410" t="str">
        <f t="shared" si="59"/>
        <v>og=(univ* California*) OR oo=(univ* California*) OR ad=(univ* California*)</v>
      </c>
      <c r="L410" t="str">
        <f t="shared" si="60"/>
        <v>(og=(univ* California*) OR oo=(univ* California*) OR ad=(univ* California*)) AND ad=(Davis)</v>
      </c>
    </row>
    <row r="411" spans="1:12">
      <c r="A411">
        <v>54076</v>
      </c>
      <c r="B411" t="s">
        <v>293</v>
      </c>
      <c r="C411" t="s">
        <v>293</v>
      </c>
      <c r="D411">
        <f t="shared" si="61"/>
        <v>3</v>
      </c>
      <c r="E411" t="str">
        <f t="shared" si="62"/>
        <v>Miami</v>
      </c>
      <c r="F411">
        <v>3</v>
      </c>
      <c r="G411" t="s">
        <v>842</v>
      </c>
      <c r="J411" t="str">
        <f>IF(MID(TRIM(G411),LEN(TRIM(G411)),1)="*",TRIM(G411),TRIM(G411)&amp;"*")</f>
        <v>univ* Miami*</v>
      </c>
      <c r="K411" t="str">
        <f t="shared" si="59"/>
        <v>og=(univ* Miami*) OR oo=(univ* Miami*) OR ad=(univ* Miami*)</v>
      </c>
      <c r="L411" t="str">
        <f t="shared" si="60"/>
        <v>og=(univ* Miami*) OR oo=(univ* Miami*) OR ad=(univ* Miami*)</v>
      </c>
    </row>
    <row r="412" spans="1:12">
      <c r="A412">
        <v>55450</v>
      </c>
      <c r="B412" t="s">
        <v>569</v>
      </c>
      <c r="C412" t="s">
        <v>569</v>
      </c>
      <c r="D412">
        <f t="shared" si="61"/>
        <v>1</v>
      </c>
      <c r="E412" t="str">
        <f t="shared" si="62"/>
        <v>Caltech</v>
      </c>
      <c r="F412">
        <v>0</v>
      </c>
      <c r="G412" t="s">
        <v>569</v>
      </c>
      <c r="J412" t="str">
        <f>IF(MID(TRIM(G412),LEN(TRIM(G412)),1)="*",TRIM(G412),TRIM(G412)&amp;"*")</f>
        <v>Caltech*</v>
      </c>
      <c r="K412" t="str">
        <f t="shared" si="59"/>
        <v>og=(Caltech*) OR oo=(Caltech*) OR ad=(Caltech*)</v>
      </c>
      <c r="L412" t="str">
        <f t="shared" si="60"/>
        <v>og=(Caltech*) OR oo=(Caltech*) OR ad=(Caltech*)</v>
      </c>
    </row>
    <row r="413" spans="1:12">
      <c r="A413">
        <v>55450</v>
      </c>
      <c r="B413" t="s">
        <v>678</v>
      </c>
      <c r="C413" t="s">
        <v>678</v>
      </c>
      <c r="D413">
        <f t="shared" si="61"/>
        <v>2</v>
      </c>
      <c r="E413" t="str">
        <f t="shared" si="62"/>
        <v>University</v>
      </c>
      <c r="F413">
        <v>1</v>
      </c>
      <c r="G413" t="s">
        <v>1019</v>
      </c>
      <c r="J413" t="str">
        <f>IF(MID(TRIM(G413),LEN(TRIM(G413)),1)="*",TRIM(G413),TRIM(G413)&amp;"*")</f>
        <v>Drake*</v>
      </c>
      <c r="K413" t="str">
        <f t="shared" si="59"/>
        <v>og=(Drake*) OR oo=(Drake*) OR ad=(Drake*)</v>
      </c>
      <c r="L413" t="str">
        <f t="shared" si="60"/>
        <v>og=(Drake*) OR oo=(Drake*) OR ad=(Drake*)</v>
      </c>
    </row>
    <row r="414" spans="1:12">
      <c r="A414">
        <v>55450</v>
      </c>
      <c r="B414" t="s">
        <v>133</v>
      </c>
      <c r="C414" t="s">
        <v>133</v>
      </c>
      <c r="D414">
        <f t="shared" si="61"/>
        <v>3</v>
      </c>
      <c r="E414" t="str">
        <f t="shared" si="62"/>
        <v>University</v>
      </c>
      <c r="F414">
        <v>1</v>
      </c>
      <c r="G414" t="s">
        <v>997</v>
      </c>
      <c r="J414" t="str">
        <f>IF(MID(TRIM(G414),LEN(TRIM(G414)),1)="*",TRIM(G414),TRIM(G414)&amp;"*")</f>
        <v>George Washington*</v>
      </c>
      <c r="K414" t="str">
        <f t="shared" si="59"/>
        <v>og=(George Washington*) OR oo=(George Washington*) OR ad=(George Washington*)</v>
      </c>
      <c r="L414" t="str">
        <f t="shared" si="60"/>
        <v>og=(George Washington*) OR oo=(George Washington*) OR ad=(George Washington*)</v>
      </c>
    </row>
    <row r="415" spans="1:12">
      <c r="A415">
        <v>55450</v>
      </c>
      <c r="B415" t="s">
        <v>668</v>
      </c>
      <c r="C415" t="s">
        <v>668</v>
      </c>
      <c r="D415">
        <f t="shared" si="61"/>
        <v>1</v>
      </c>
      <c r="E415" t="str">
        <f t="shared" si="62"/>
        <v>Proteomics</v>
      </c>
      <c r="F415">
        <v>0</v>
      </c>
      <c r="G415" t="s">
        <v>668</v>
      </c>
      <c r="J415" t="str">
        <f>IF(MID(TRIM(G415),LEN(TRIM(G415)),1)="*",TRIM(G415),TRIM(G415)&amp;"*")</f>
        <v>Proteomics*</v>
      </c>
      <c r="K415" t="str">
        <f t="shared" si="59"/>
        <v>og=(Proteomics*) OR oo=(Proteomics*) OR ad=(Proteomics*)</v>
      </c>
      <c r="L415" t="str">
        <f t="shared" si="60"/>
        <v>og=(Proteomics*) OR oo=(Proteomics*) OR ad=(Proteomics*)</v>
      </c>
    </row>
    <row r="416" spans="1:12">
      <c r="A416">
        <v>55450</v>
      </c>
      <c r="B416" t="s">
        <v>648</v>
      </c>
      <c r="C416" s="6" t="s">
        <v>566</v>
      </c>
      <c r="D416">
        <f t="shared" si="61"/>
        <v>5</v>
      </c>
      <c r="E416" t="str">
        <f t="shared" si="62"/>
        <v>Angeles</v>
      </c>
      <c r="F416" t="s">
        <v>1036</v>
      </c>
      <c r="G416" s="6" t="s">
        <v>872</v>
      </c>
      <c r="H416" t="str">
        <f>TRIM(LEFT(SUBSTITUTE(G416,",",REPT(" ",99)),99))</f>
        <v>univ* California</v>
      </c>
      <c r="I416" t="str">
        <f>TRIM(RIGHT(SUBSTITUTE(C416,",",REPT(" ",99)),99))</f>
        <v>Los Angeles</v>
      </c>
      <c r="J416" t="str">
        <f>IF(MID(TRIM(H416),LEN(TRIM(H416)),1)="*",TRIM(H416),TRIM(H416)&amp;"*")</f>
        <v>univ* California*</v>
      </c>
      <c r="K416" t="str">
        <f t="shared" si="59"/>
        <v>og=(univ* California*) OR oo=(univ* California*) OR ad=(univ* California*)</v>
      </c>
      <c r="L416" t="str">
        <f t="shared" si="60"/>
        <v>(og=(univ* California*) OR oo=(univ* California*) OR ad=(univ* California*)) AND ad=(Los Angeles)</v>
      </c>
    </row>
    <row r="417" spans="1:12">
      <c r="A417">
        <v>55450</v>
      </c>
      <c r="B417" t="s">
        <v>566</v>
      </c>
      <c r="C417" t="s">
        <v>566</v>
      </c>
      <c r="D417">
        <f t="shared" si="61"/>
        <v>5</v>
      </c>
      <c r="E417" t="str">
        <f t="shared" si="62"/>
        <v>Angeles</v>
      </c>
      <c r="F417" t="s">
        <v>1036</v>
      </c>
      <c r="G417" t="s">
        <v>872</v>
      </c>
      <c r="H417" t="str">
        <f>TRIM(LEFT(SUBSTITUTE(G417,",",REPT(" ",99)),99))</f>
        <v>univ* California</v>
      </c>
      <c r="I417" t="str">
        <f>TRIM(RIGHT(SUBSTITUTE(C417,",",REPT(" ",99)),99))</f>
        <v>Los Angeles</v>
      </c>
      <c r="J417" t="str">
        <f>IF(MID(TRIM(H417),LEN(TRIM(H417)),1)="*",TRIM(H417),TRIM(H417)&amp;"*")</f>
        <v>univ* California*</v>
      </c>
      <c r="K417" t="str">
        <f t="shared" si="59"/>
        <v>og=(univ* California*) OR oo=(univ* California*) OR ad=(univ* California*)</v>
      </c>
      <c r="L417" t="str">
        <f t="shared" si="60"/>
        <v>(og=(univ* California*) OR oo=(univ* California*) OR ad=(univ* California*)) AND ad=(Los Angeles)</v>
      </c>
    </row>
    <row r="418" spans="1:12">
      <c r="A418">
        <v>55450</v>
      </c>
      <c r="B418" t="s">
        <v>679</v>
      </c>
      <c r="C418" t="s">
        <v>679</v>
      </c>
      <c r="D418">
        <f t="shared" si="61"/>
        <v>3</v>
      </c>
      <c r="E418" t="str">
        <f t="shared" si="62"/>
        <v>Minnesota</v>
      </c>
      <c r="F418">
        <v>3</v>
      </c>
      <c r="G418" t="s">
        <v>881</v>
      </c>
      <c r="J418" t="str">
        <f t="shared" ref="J418:J423" si="63">IF(MID(TRIM(G418),LEN(TRIM(G418)),1)="*",TRIM(G418),TRIM(G418)&amp;"*")</f>
        <v>univ* Minnesota*</v>
      </c>
      <c r="K418" t="str">
        <f t="shared" si="59"/>
        <v>og=(univ* Minnesota*) OR oo=(univ* Minnesota*) OR ad=(univ* Minnesota*)</v>
      </c>
      <c r="L418" t="str">
        <f t="shared" si="60"/>
        <v>og=(univ* Minnesota*) OR oo=(univ* Minnesota*) OR ad=(univ* Minnesota*)</v>
      </c>
    </row>
    <row r="419" spans="1:12">
      <c r="A419">
        <v>68739</v>
      </c>
      <c r="B419" t="s">
        <v>481</v>
      </c>
      <c r="C419" t="s">
        <v>481</v>
      </c>
      <c r="D419">
        <f t="shared" si="61"/>
        <v>2</v>
      </c>
      <c r="E419" t="str">
        <f t="shared" si="62"/>
        <v>University</v>
      </c>
      <c r="F419">
        <v>1</v>
      </c>
      <c r="G419" t="s">
        <v>1020</v>
      </c>
      <c r="J419" t="str">
        <f t="shared" si="63"/>
        <v>Creighton*</v>
      </c>
      <c r="K419" t="str">
        <f t="shared" si="59"/>
        <v>og=(Creighton*) OR oo=(Creighton*) OR ad=(Creighton*)</v>
      </c>
      <c r="L419" t="str">
        <f t="shared" si="60"/>
        <v>og=(Creighton*) OR oo=(Creighton*) OR ad=(Creighton*)</v>
      </c>
    </row>
    <row r="420" spans="1:12">
      <c r="A420">
        <v>68739</v>
      </c>
      <c r="B420" t="s">
        <v>212</v>
      </c>
      <c r="C420" t="s">
        <v>608</v>
      </c>
      <c r="D420">
        <f t="shared" si="61"/>
        <v>3</v>
      </c>
      <c r="E420" t="str">
        <f t="shared" si="62"/>
        <v>University</v>
      </c>
      <c r="F420">
        <v>1</v>
      </c>
      <c r="G420" t="s">
        <v>911</v>
      </c>
      <c r="J420" t="str">
        <f t="shared" si="63"/>
        <v>Saint Louis*</v>
      </c>
      <c r="K420" t="str">
        <f t="shared" si="59"/>
        <v>og=(Saint Louis*) OR oo=(Saint Louis*) OR ad=(Saint Louis*)</v>
      </c>
      <c r="L420" t="str">
        <f t="shared" si="60"/>
        <v>og=(Saint Louis*) OR oo=(Saint Louis*) OR ad=(Saint Louis*)</v>
      </c>
    </row>
    <row r="421" spans="1:12">
      <c r="A421">
        <v>90313</v>
      </c>
      <c r="B421" t="s">
        <v>450</v>
      </c>
      <c r="C421" t="s">
        <v>450</v>
      </c>
      <c r="D421">
        <f t="shared" si="61"/>
        <v>3</v>
      </c>
      <c r="E421" t="str">
        <f t="shared" si="62"/>
        <v>University</v>
      </c>
      <c r="F421">
        <v>1</v>
      </c>
      <c r="G421" t="s">
        <v>1021</v>
      </c>
      <c r="J421" t="str">
        <f t="shared" si="63"/>
        <v>Seoul National*</v>
      </c>
      <c r="K421" t="str">
        <f t="shared" si="59"/>
        <v>og=(Seoul National*) OR oo=(Seoul National*) OR ad=(Seoul National*)</v>
      </c>
      <c r="L421" t="str">
        <f t="shared" si="60"/>
        <v>og=(Seoul National*) OR oo=(Seoul National*) OR ad=(Seoul National*)</v>
      </c>
    </row>
    <row r="422" spans="1:12">
      <c r="A422">
        <v>90313</v>
      </c>
      <c r="B422" t="s">
        <v>449</v>
      </c>
      <c r="C422" t="s">
        <v>449</v>
      </c>
      <c r="D422">
        <f t="shared" si="61"/>
        <v>3</v>
      </c>
      <c r="E422" t="str">
        <f t="shared" si="62"/>
        <v>Michigan</v>
      </c>
      <c r="F422">
        <v>3</v>
      </c>
      <c r="G422" t="s">
        <v>859</v>
      </c>
      <c r="J422" t="str">
        <f t="shared" si="63"/>
        <v>univ* Michigan*</v>
      </c>
      <c r="K422" t="str">
        <f t="shared" si="59"/>
        <v>og=(univ* Michigan*) OR oo=(univ* Michigan*) OR ad=(univ* Michigan*)</v>
      </c>
      <c r="L422" t="str">
        <f t="shared" si="60"/>
        <v>og=(univ* Michigan*) OR oo=(univ* Michigan*) OR ad=(univ* Michigan*)</v>
      </c>
    </row>
    <row r="423" spans="1:12">
      <c r="A423">
        <v>90313</v>
      </c>
      <c r="B423" t="s">
        <v>311</v>
      </c>
      <c r="C423" t="s">
        <v>311</v>
      </c>
      <c r="D423">
        <f t="shared" si="61"/>
        <v>3</v>
      </c>
      <c r="E423" t="str">
        <f t="shared" si="62"/>
        <v>Toledo</v>
      </c>
      <c r="F423">
        <v>3</v>
      </c>
      <c r="G423" t="s">
        <v>882</v>
      </c>
      <c r="J423" t="str">
        <f t="shared" si="63"/>
        <v>univ* Toledo*</v>
      </c>
      <c r="K423" t="str">
        <f t="shared" si="59"/>
        <v>og=(univ* Toledo*) OR oo=(univ* Toledo*) OR ad=(univ* Toledo*)</v>
      </c>
      <c r="L423" t="str">
        <f t="shared" si="60"/>
        <v>og=(univ* Toledo*) OR oo=(univ* Toledo*) OR ad=(univ* Toledo*)</v>
      </c>
    </row>
  </sheetData>
  <sortState ref="A2:L423">
    <sortCondition ref="A2:A423"/>
    <sortCondition ref="C2:C423"/>
  </sortState>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R111"/>
  <sheetViews>
    <sheetView tabSelected="1" topLeftCell="A70" workbookViewId="0">
      <selection activeCell="A106" sqref="A106"/>
    </sheetView>
  </sheetViews>
  <sheetFormatPr baseColWidth="10" defaultColWidth="8.83203125" defaultRowHeight="14" x14ac:dyDescent="0"/>
  <cols>
    <col min="1" max="1" width="8.6640625" bestFit="1" customWidth="1"/>
    <col min="2" max="2" width="15.5" customWidth="1"/>
    <col min="3" max="3" width="18" customWidth="1"/>
    <col min="4" max="4" width="10.33203125" style="10" bestFit="1" customWidth="1"/>
    <col min="5" max="5" width="11.33203125" style="10" bestFit="1" customWidth="1"/>
    <col min="6" max="6" width="11" style="10" bestFit="1" customWidth="1"/>
    <col min="7" max="7" width="7.6640625" style="10" bestFit="1" customWidth="1"/>
    <col min="8" max="8" width="11.33203125" style="12" bestFit="1" customWidth="1"/>
    <col min="9" max="9" width="7.6640625" style="12" bestFit="1" customWidth="1"/>
    <col min="10" max="11" width="2.83203125" style="12" bestFit="1" customWidth="1"/>
    <col min="12" max="12" width="11.83203125" customWidth="1"/>
    <col min="13" max="13" width="10.5" customWidth="1"/>
    <col min="14" max="14" width="7.5" customWidth="1"/>
    <col min="15" max="15" width="12" customWidth="1"/>
    <col min="17" max="17" width="8.6640625" bestFit="1" customWidth="1"/>
  </cols>
  <sheetData>
    <row r="1" spans="1:18" s="1" customFormat="1">
      <c r="A1" s="1" t="s">
        <v>0</v>
      </c>
      <c r="B1" s="1" t="s">
        <v>342</v>
      </c>
      <c r="C1" s="1" t="s">
        <v>806</v>
      </c>
      <c r="D1" s="9" t="s">
        <v>807</v>
      </c>
      <c r="E1" s="9"/>
      <c r="F1" s="9"/>
      <c r="G1" s="9"/>
      <c r="H1" s="11" t="s">
        <v>789</v>
      </c>
      <c r="I1" s="11" t="s">
        <v>808</v>
      </c>
      <c r="J1" s="11"/>
      <c r="K1" s="11"/>
      <c r="L1" s="1" t="s">
        <v>809</v>
      </c>
      <c r="M1" s="1" t="s">
        <v>810</v>
      </c>
      <c r="N1" s="1" t="s">
        <v>1146</v>
      </c>
      <c r="O1" s="1" t="s">
        <v>1185</v>
      </c>
      <c r="P1" s="1" t="s">
        <v>811</v>
      </c>
      <c r="Q1" s="1" t="s">
        <v>0</v>
      </c>
    </row>
    <row r="2" spans="1:18">
      <c r="A2">
        <v>30021</v>
      </c>
      <c r="B2" t="s">
        <v>236</v>
      </c>
      <c r="C2" t="s">
        <v>236</v>
      </c>
      <c r="D2" s="10" t="s">
        <v>237</v>
      </c>
      <c r="E2" s="10" t="s">
        <v>238</v>
      </c>
      <c r="H2" s="12" t="str">
        <f t="shared" ref="H2:H7" si="0">TRIM(E2)</f>
        <v>Swain</v>
      </c>
      <c r="I2" s="12" t="str">
        <f t="shared" ref="I2:I33" si="1">MID(TRIM(D2),1,1)</f>
        <v>G</v>
      </c>
      <c r="L2" t="str">
        <f t="shared" ref="L2:L7" si="2">"AU=("&amp;H2&amp;" "&amp;I2&amp;")"</f>
        <v>AU=(Swain G)</v>
      </c>
      <c r="M2" t="s">
        <v>1042</v>
      </c>
      <c r="N2" t="s">
        <v>1147</v>
      </c>
      <c r="O2" t="str">
        <f t="shared" ref="O2:O33" si="3">"("&amp;L2&amp;" AND ("&amp;M2&amp;"))"&amp;N2</f>
        <v>(AU=(Swain G) AND ((og=(Talladega*) OR oo=(Talladega*) OR ad=(Talladega*)) OR (og=(Tennessee State*) OR oo=(Tennessee State*) OR ad=(Tennessee State*)))) AND (PY=(1970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2">
        <v>0</v>
      </c>
      <c r="Q2">
        <v>30021</v>
      </c>
    </row>
    <row r="3" spans="1:18">
      <c r="A3">
        <v>30056</v>
      </c>
      <c r="B3" t="s">
        <v>308</v>
      </c>
      <c r="C3" t="s">
        <v>308</v>
      </c>
      <c r="D3" s="10" t="s">
        <v>45</v>
      </c>
      <c r="E3" s="10" t="s">
        <v>309</v>
      </c>
      <c r="H3" s="12" t="str">
        <f t="shared" si="0"/>
        <v>Kakovitch</v>
      </c>
      <c r="I3" s="12" t="str">
        <f t="shared" si="1"/>
        <v>T</v>
      </c>
      <c r="L3" t="str">
        <f t="shared" si="2"/>
        <v>AU=(Kakovitch T)</v>
      </c>
      <c r="M3" t="s">
        <v>1142</v>
      </c>
      <c r="N3" t="s">
        <v>1149</v>
      </c>
      <c r="O3" t="str">
        <f t="shared" si="3"/>
        <v>(AU=(Kakovitch T) AND ((og=(univ* District of Columbia*) OR oo=(univ* District of Columbia*) OR ad=(univ* District of Columbia*)))) AND (PY=(1969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3">
        <v>0</v>
      </c>
      <c r="Q3">
        <v>30056</v>
      </c>
    </row>
    <row r="4" spans="1:18">
      <c r="A4">
        <v>30192</v>
      </c>
      <c r="B4" t="s">
        <v>338</v>
      </c>
      <c r="C4" t="s">
        <v>338</v>
      </c>
      <c r="D4" s="10" t="s">
        <v>339</v>
      </c>
      <c r="E4" s="10" t="s">
        <v>332</v>
      </c>
      <c r="H4" s="12" t="str">
        <f t="shared" si="0"/>
        <v>Mukerji</v>
      </c>
      <c r="I4" s="12" t="str">
        <f t="shared" si="1"/>
        <v>S</v>
      </c>
      <c r="L4" t="str">
        <f t="shared" si="2"/>
        <v>AU=(Mukerji S)</v>
      </c>
      <c r="M4" t="s">
        <v>1043</v>
      </c>
      <c r="O4" t="str">
        <f t="shared" si="3"/>
        <v>(AU=(Mukerji S) AND ((og=(Xavier*) OR oo=(Xavier*) OR ad=(Xavier*))))</v>
      </c>
      <c r="P4">
        <v>0</v>
      </c>
      <c r="Q4">
        <v>30192</v>
      </c>
    </row>
    <row r="5" spans="1:18">
      <c r="A5">
        <v>30972</v>
      </c>
      <c r="B5" t="s">
        <v>352</v>
      </c>
      <c r="C5" t="s">
        <v>352</v>
      </c>
      <c r="D5" s="10" t="s">
        <v>768</v>
      </c>
      <c r="E5" s="10" t="s">
        <v>185</v>
      </c>
      <c r="H5" s="12" t="str">
        <f t="shared" si="0"/>
        <v>White</v>
      </c>
      <c r="I5" s="12" t="str">
        <f t="shared" si="1"/>
        <v>D</v>
      </c>
      <c r="L5" t="str">
        <f t="shared" si="2"/>
        <v>AU=(White D)</v>
      </c>
      <c r="M5" t="s">
        <v>1044</v>
      </c>
      <c r="N5" t="s">
        <v>1160</v>
      </c>
      <c r="O5" t="str">
        <f t="shared" si="3"/>
        <v>(AU=(White D) AND ((og=(Capella*) OR oo=(Capella*) OR ad=(Capella*)) OR (og=(Hinds Community*) OR oo=(Hinds Community*) OR ad=(Hinds Community*)) OR (og=(Jackson State*) OR oo=(Jackson State*) OR ad=(Jackson State*)) OR (og=(Tougaloo*) OR oo=(Tougaloo*) OR ad=(Tougaloo*)) OR (og=(Tougaloo*) OR oo=(Tougaloo*) OR ad=(Tougaloo*)))) AND (PY=(1988 OR 1989 OR 1990 OR 1991 OR 1992 OR 1993 OR 1994 OR 1995 OR 1996 OR 1997 OR 1998 OR 1999 OR 2000 OR 2001 OR 2002 OR 2003 OR 2004 OR 2005 OR 2006 OR 2007 OR 2008 OR 2009 OR 2010 OR 2011 OR 2012 OR 2013))</v>
      </c>
      <c r="P5">
        <v>0</v>
      </c>
      <c r="Q5">
        <v>30972</v>
      </c>
    </row>
    <row r="6" spans="1:18">
      <c r="A6">
        <v>31495</v>
      </c>
      <c r="B6" t="s">
        <v>351</v>
      </c>
      <c r="C6" t="s">
        <v>351</v>
      </c>
      <c r="D6" s="10" t="s">
        <v>73</v>
      </c>
      <c r="E6" s="10" t="s">
        <v>268</v>
      </c>
      <c r="H6" s="12" t="str">
        <f t="shared" si="0"/>
        <v>Sweeney</v>
      </c>
      <c r="I6" s="12" t="str">
        <f t="shared" si="1"/>
        <v>A</v>
      </c>
      <c r="L6" t="str">
        <f t="shared" si="2"/>
        <v>AU=(Sweeney A)</v>
      </c>
      <c r="M6" t="s">
        <v>1056</v>
      </c>
      <c r="N6" t="s">
        <v>1163</v>
      </c>
      <c r="O6" t="str">
        <f t="shared" si="3"/>
        <v>(AU=(Sweeney A) AND ((og=(Coll* St. Catherine*) OR oo=(Coll* St. Catherine*) OR ad=(Coll* St. Catherine*)) OR (og=(Coll* St. Thomas*) OR oo=(Coll* St. Thomas*) OR ad=(Coll* St. Thomas*)) OR (og=(Concordia College St. Paul*) OR oo=(Concordia College St. Paul*) OR ad=(Concordia College St. Paul*)) OR (og=(Loyola*) OR oo=(Loyola*) OR ad=(Loyola*)) OR (og=(Metropolitan State*) OR oo=(Metropolitan State*) OR ad=(Metropolitan State*)) OR (og=(Parkland*) OR oo=(Parkland*) OR ad=(Parkland*)) OR ((og=(univ* Illinois*) OR oo=(univ* Illinois*) OR ad=(univ* Illinois*)) AND ad=(Urbana-Champaign)))) AND (PY=(1968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6">
        <v>0</v>
      </c>
      <c r="Q6">
        <v>31495</v>
      </c>
    </row>
    <row r="7" spans="1:18">
      <c r="A7">
        <v>39256</v>
      </c>
      <c r="B7" t="s">
        <v>250</v>
      </c>
      <c r="C7" t="s">
        <v>250</v>
      </c>
      <c r="D7" s="10" t="s">
        <v>251</v>
      </c>
      <c r="E7" s="10" t="s">
        <v>252</v>
      </c>
      <c r="H7" s="12" t="str">
        <f t="shared" si="0"/>
        <v>Gawlik</v>
      </c>
      <c r="I7" s="12" t="str">
        <f t="shared" si="1"/>
        <v>C</v>
      </c>
      <c r="L7" t="str">
        <f t="shared" si="2"/>
        <v>AU=(Gawlik C)</v>
      </c>
      <c r="M7" t="s">
        <v>1045</v>
      </c>
      <c r="N7" t="s">
        <v>1178</v>
      </c>
      <c r="O7" t="str">
        <f t="shared" si="3"/>
        <v>(AU=(Gawlik C) AND ((og=(Kansas State*) OR oo=(Kansas State*) OR ad=(Kansas State*)) OR (og=(Texas Woman's*) OR oo=(Texas Woman's*) OR ad=(Texas Woman's*)))) AND (PY=(2003 OR 2004 OR 2005 OR 2006 OR 2007 OR 2008 OR 2009 OR 2010 OR 2011 OR 2012 OR 2013))</v>
      </c>
      <c r="P7">
        <v>0</v>
      </c>
      <c r="Q7">
        <v>39256</v>
      </c>
    </row>
    <row r="8" spans="1:18">
      <c r="A8">
        <v>51101</v>
      </c>
      <c r="B8" t="s">
        <v>265</v>
      </c>
      <c r="C8" t="s">
        <v>717</v>
      </c>
      <c r="D8" s="10" t="s">
        <v>54</v>
      </c>
      <c r="E8" s="10" t="s">
        <v>93</v>
      </c>
      <c r="F8" s="10" t="s">
        <v>760</v>
      </c>
      <c r="H8" s="12" t="str">
        <f>TRIM(F8)</f>
        <v>DePhillips</v>
      </c>
      <c r="I8" s="12" t="str">
        <f t="shared" si="1"/>
        <v>H</v>
      </c>
      <c r="J8" s="12" t="str">
        <f>MID(TRIM(E8),1,1)</f>
        <v>A</v>
      </c>
      <c r="L8" t="str">
        <f>"AU=("&amp;H8&amp;" "&amp;I8&amp;" OR "&amp;H8&amp;" "&amp;J8&amp;")"</f>
        <v>AU=(DePhillips H OR DePhillips A)</v>
      </c>
      <c r="M8" t="s">
        <v>1046</v>
      </c>
      <c r="N8" t="s">
        <v>1165</v>
      </c>
      <c r="O8" t="str">
        <f t="shared" si="3"/>
        <v>(AU=(DePhillips H OR DePhillips A) AND ((og=(Fordham*) OR oo=(Fordham*) OR ad=(Fordham*)) OR (og=(Northwestern*) OR oo=(Northwestern*) OR ad=(Northwestern*)) OR (og=(Trinity*) OR oo=(Trinity*) OR ad=(Trinity*)) OR (og=(Yale*) OR oo=(Yale*) OR ad=(Yale*)))) AND (PY=(1959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8">
        <v>0</v>
      </c>
      <c r="Q8">
        <v>51101</v>
      </c>
    </row>
    <row r="9" spans="1:18">
      <c r="A9">
        <v>30222</v>
      </c>
      <c r="B9" t="s">
        <v>87</v>
      </c>
      <c r="C9" t="s">
        <v>87</v>
      </c>
      <c r="D9" s="10" t="s">
        <v>88</v>
      </c>
      <c r="E9" s="10" t="s">
        <v>89</v>
      </c>
      <c r="H9" s="12" t="str">
        <f>TRIM(E9)</f>
        <v>Roth</v>
      </c>
      <c r="I9" s="12" t="str">
        <f t="shared" si="1"/>
        <v>T</v>
      </c>
      <c r="L9" t="str">
        <f>"AU=("&amp;H9&amp;" "&amp;I9&amp;")"</f>
        <v>AU=(Roth T)</v>
      </c>
      <c r="M9" t="s">
        <v>1047</v>
      </c>
      <c r="O9" t="str">
        <f t="shared" si="3"/>
        <v>(AU=(Roth T) AND ((og=(Coppin State*) OR oo=(Coppin State*) OR ad=(Coppin State*))))</v>
      </c>
      <c r="P9">
        <v>1</v>
      </c>
      <c r="Q9">
        <v>30222</v>
      </c>
    </row>
    <row r="10" spans="1:18">
      <c r="A10">
        <v>33824</v>
      </c>
      <c r="B10" t="s">
        <v>59</v>
      </c>
      <c r="C10" t="s">
        <v>59</v>
      </c>
      <c r="D10" s="10" t="s">
        <v>25</v>
      </c>
      <c r="E10" s="10" t="s">
        <v>35</v>
      </c>
      <c r="H10" s="12" t="str">
        <f>TRIM(E10)</f>
        <v>Taylor</v>
      </c>
      <c r="I10" s="12" t="str">
        <f t="shared" si="1"/>
        <v>L</v>
      </c>
      <c r="L10" t="str">
        <f>"AU=("&amp;H10&amp;" "&amp;I10&amp;")"</f>
        <v>AU=(Taylor L)</v>
      </c>
      <c r="M10" t="s">
        <v>1112</v>
      </c>
      <c r="N10" t="s">
        <v>1156</v>
      </c>
      <c r="O10" t="str">
        <f t="shared" si="3"/>
        <v>(AU=(Taylor L) AND (((og=(California State Univ*) OR oo=(California State Univ*) OR ad=(California State Univ*)) AND ad=(Sacramento)) OR ((og=(univ* California*) OR oo=(univ* California*) OR ad=(univ* California*)) AND ad=(San Diego)))) AND (PY=(1984 OR 1985 OR 1986 OR 1987 OR 1988 OR 1989 OR 1990 OR 1991 OR 1992 OR 1993 OR 1994 OR 1995 OR 1996 OR 1997 OR 1998 OR 1999 OR 2000 OR 2001 OR 2002 OR 2003 OR 2004 OR 2005 OR 2006 OR 2007 OR 2008 OR 2009 OR 2010 OR 2011 OR 2012 OR 2013))</v>
      </c>
      <c r="P10">
        <v>1</v>
      </c>
      <c r="Q10">
        <v>33824</v>
      </c>
    </row>
    <row r="11" spans="1:18">
      <c r="A11">
        <v>30442</v>
      </c>
      <c r="B11" t="s">
        <v>243</v>
      </c>
      <c r="C11" t="s">
        <v>243</v>
      </c>
      <c r="D11" s="10" t="s">
        <v>244</v>
      </c>
      <c r="E11" s="10" t="s">
        <v>245</v>
      </c>
      <c r="H11" s="12" t="str">
        <f>TRIM(E11)</f>
        <v>Kahlon</v>
      </c>
      <c r="I11" s="12" t="str">
        <f t="shared" si="1"/>
        <v>P</v>
      </c>
      <c r="L11" t="str">
        <f>"AU=("&amp;H11&amp;" "&amp;I11&amp;")"</f>
        <v>AU=(Kahlon P)</v>
      </c>
      <c r="M11" t="s">
        <v>1051</v>
      </c>
      <c r="N11" t="s">
        <v>1155</v>
      </c>
      <c r="O11" t="str">
        <f t="shared" si="3"/>
        <v>(AU=(Kahlon P) AND ((og=(Louisiana State*) OR oo=(Louisiana State*) OR ad=(Louisiana State*)) OR (og=(Louisiana State*) OR oo=(Louisiana State*) OR ad=(Louisiana State*)) OR (og=(Punjab*) OR oo=(Punjab*) OR ad=(Punjab*)) OR (og=(Tennessee State*) OR oo=(Tennessee State*) OR ad=(Tennessee State*)))) AND (PY=(1958 OR 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11">
        <v>2</v>
      </c>
      <c r="Q11">
        <v>30442</v>
      </c>
    </row>
    <row r="12" spans="1:18">
      <c r="A12">
        <v>36058</v>
      </c>
      <c r="B12" t="s">
        <v>356</v>
      </c>
      <c r="C12" t="s">
        <v>356</v>
      </c>
      <c r="D12" s="10" t="s">
        <v>772</v>
      </c>
      <c r="E12" s="10" t="s">
        <v>773</v>
      </c>
      <c r="H12" s="12" t="str">
        <f>TRIM(E12)</f>
        <v>Nakatsugawa</v>
      </c>
      <c r="I12" s="12" t="str">
        <f t="shared" si="1"/>
        <v>T</v>
      </c>
      <c r="L12" t="str">
        <f>"AU=("&amp;H12&amp;" "&amp;I12&amp;")"</f>
        <v>AU=(Nakatsugawa T)</v>
      </c>
      <c r="M12" t="s">
        <v>1064</v>
      </c>
      <c r="N12" t="s">
        <v>1155</v>
      </c>
      <c r="O12" t="str">
        <f t="shared" si="3"/>
        <v>(AU=(Nakatsugawa T) AND ((og=(Iowa State*) OR oo=(Iowa State*) OR ad=(Iowa State*)) OR ((og=(State University of New York*) OR oo=(State University of New York*) OR ad=(State University of New York*)) AND ad=(College of Environmental Science and Forestry)) OR ((og=(SUNY*) OR oo=(SUNY*) OR ad=(SUNY*)) AND ad=(College of Environmental Science and Forestry)) OR (og=(Tokyo*) OR oo=(Tokyo*) OR ad=(Tokyo*)))) AND (PY=(1958 OR 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12">
        <v>2</v>
      </c>
      <c r="Q12">
        <v>36058</v>
      </c>
    </row>
    <row r="13" spans="1:18">
      <c r="A13">
        <v>31272</v>
      </c>
      <c r="B13" t="s">
        <v>40</v>
      </c>
      <c r="C13" t="s">
        <v>726</v>
      </c>
      <c r="D13" s="10" t="s">
        <v>41</v>
      </c>
      <c r="E13" s="10" t="s">
        <v>752</v>
      </c>
      <c r="F13" s="10" t="s">
        <v>42</v>
      </c>
      <c r="H13" s="12" t="str">
        <f>TRIM(F13)</f>
        <v>Davis</v>
      </c>
      <c r="I13" s="12" t="str">
        <f t="shared" si="1"/>
        <v>T</v>
      </c>
      <c r="J13" s="12" t="str">
        <f>MID(TRIM(E13),1,1)</f>
        <v>L</v>
      </c>
      <c r="L13" t="str">
        <f>"AU=("&amp;H13&amp;" "&amp;I13&amp;" OR "&amp;H13&amp;" "&amp;J13&amp;")"</f>
        <v>AU=(Davis T OR Davis L)</v>
      </c>
      <c r="M13" t="s">
        <v>1104</v>
      </c>
      <c r="N13" t="s">
        <v>1162</v>
      </c>
      <c r="O13" t="str">
        <f t="shared" si="3"/>
        <v>(AU=(Davis T OR Davis L) AND ((og=(Bryn Mawr*) OR oo=(Bryn Mawr*) OR ad=(Bryn Mawr*)) OR ((og=(univ* California*) OR oo=(univ* California*) OR ad=(univ* California*)) AND ad=(Berkeley)) OR ((og=(univ* California*) OR oo=(univ* California*) OR ad=(univ* California*)) AND ad=(San Diego)) OR (og=(univ* Pennsylvania*) OR oo=(univ* Pennsylvania*) OR ad=(univ* Pennsylvania*)))) AND (PY=(1990 OR 1991 OR 1992 OR 1993 OR 1994 OR 1995 OR 1996 OR 1997 OR 1998 OR 1999 OR 2000 OR 2001 OR 2002 OR 2003 OR 2004 OR 2005 OR 2006 OR 2007 OR 2008 OR 2009 OR 2010 OR 2011 OR 2012 OR 2013))</v>
      </c>
      <c r="P13">
        <v>3</v>
      </c>
      <c r="Q13">
        <v>31272</v>
      </c>
    </row>
    <row r="14" spans="1:18">
      <c r="A14">
        <v>38653</v>
      </c>
      <c r="B14" t="s">
        <v>350</v>
      </c>
      <c r="C14" t="s">
        <v>745</v>
      </c>
      <c r="D14" s="10" t="s">
        <v>98</v>
      </c>
      <c r="E14" s="10" t="s">
        <v>758</v>
      </c>
      <c r="F14" s="10" t="s">
        <v>777</v>
      </c>
      <c r="H14" s="12" t="str">
        <f>TRIM(F14)</f>
        <v>Boylan</v>
      </c>
      <c r="I14" s="12" t="str">
        <f t="shared" si="1"/>
        <v>E</v>
      </c>
      <c r="J14" s="12" t="str">
        <f>MID(TRIM(E14),1,1)</f>
        <v>S</v>
      </c>
      <c r="L14" t="str">
        <f>"AU=("&amp;H14&amp;" "&amp;I14&amp;" OR "&amp;H14&amp;" "&amp;J14&amp;")"</f>
        <v>AU=(Boylan E OR Boylan S)</v>
      </c>
      <c r="M14" t="s">
        <v>1049</v>
      </c>
      <c r="N14" t="s">
        <v>1150</v>
      </c>
      <c r="O14" t="str">
        <f t="shared" si="3"/>
        <v>(AU=(Boylan E OR Boylan S) AND ((og=(Columbia*) OR oo=(Columbia*) OR ad=(Columbia*)) OR (og=(Hunter*) OR oo=(Hunter*) OR ad=(Hunter*)) OR (og=(Princeton*) OR oo=(Princeton*) OR ad=(Princeton*)) OR (og=(Rutgers*) OR oo=(Rutgers*) OR ad=(Rutgers*)) OR (og=(Stevens Institute of Technology*) OR oo=(Stevens Institute of Technology*) OR ad=(Stevens Institute of Technology*)) OR (og=(Yeshiva*) OR oo=(Yeshiva*) OR ad=(Yeshiva*)))) AND (PY=(1956 OR 1957 OR 1958 OR 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14" s="13">
        <v>3</v>
      </c>
      <c r="Q14" s="13">
        <v>38653</v>
      </c>
      <c r="R14" s="13"/>
    </row>
    <row r="15" spans="1:18">
      <c r="A15">
        <v>51420</v>
      </c>
      <c r="B15" t="s">
        <v>78</v>
      </c>
      <c r="C15" t="s">
        <v>78</v>
      </c>
      <c r="D15" s="10" t="s">
        <v>79</v>
      </c>
      <c r="E15" s="10" t="s">
        <v>80</v>
      </c>
      <c r="H15" s="12" t="str">
        <f>TRIM(E15)</f>
        <v>Bruder</v>
      </c>
      <c r="I15" s="12" t="str">
        <f t="shared" si="1"/>
        <v>A</v>
      </c>
      <c r="L15" t="str">
        <f>"AU=("&amp;H15&amp;" "&amp;I15&amp;")"</f>
        <v>AU=(Bruder A)</v>
      </c>
      <c r="M15" t="s">
        <v>1048</v>
      </c>
      <c r="N15" t="s">
        <v>1178</v>
      </c>
      <c r="O15" t="str">
        <f t="shared" si="3"/>
        <v>(AU=(Bruder A) AND ((og=(Baylor*) OR oo=(Baylor*) OR ad=(Baylor*)) OR (og=(Colorado*) OR oo=(Colorado*) OR ad=(Colorado*)))) AND (PY=(2003 OR 2004 OR 2005 OR 2006 OR 2007 OR 2008 OR 2009 OR 2010 OR 2011 OR 2012 OR 2013))</v>
      </c>
      <c r="P15">
        <v>3</v>
      </c>
      <c r="Q15">
        <v>51420</v>
      </c>
    </row>
    <row r="16" spans="1:18">
      <c r="A16">
        <v>30701</v>
      </c>
      <c r="B16" t="s">
        <v>239</v>
      </c>
      <c r="C16" t="s">
        <v>239</v>
      </c>
      <c r="D16" s="10" t="s">
        <v>100</v>
      </c>
      <c r="E16" s="10" t="s">
        <v>761</v>
      </c>
      <c r="F16" s="10" t="s">
        <v>240</v>
      </c>
      <c r="H16" s="12" t="str">
        <f>TRIM(F16)</f>
        <v>Raza</v>
      </c>
      <c r="I16" s="12" t="str">
        <f t="shared" si="1"/>
        <v>S</v>
      </c>
      <c r="J16" s="12" t="str">
        <f>MID(TRIM(E16),1,1)</f>
        <v>Q</v>
      </c>
      <c r="L16" t="str">
        <f>"AU=("&amp;H16&amp;" "&amp;I16&amp;" OR "&amp;H16&amp;" "&amp;J16&amp;")"</f>
        <v>AU=(Raza S OR Raza Q)</v>
      </c>
      <c r="M16" t="s">
        <v>1054</v>
      </c>
      <c r="N16" t="s">
        <v>1156</v>
      </c>
      <c r="O16" t="str">
        <f t="shared" si="3"/>
        <v>(AU=(Raza S OR Raza Q) AND ((og=(Punjab*) OR oo=(Punjab*) OR ad=(Punjab*)) OR (og=(Talladega*) OR oo=(Talladega*) OR ad=(Talladega*)))) AND (PY=(1984 OR 1985 OR 1986 OR 1987 OR 1988 OR 1989 OR 1990 OR 1991 OR 1992 OR 1993 OR 1994 OR 1995 OR 1996 OR 1997 OR 1998 OR 1999 OR 2000 OR 2001 OR 2002 OR 2003 OR 2004 OR 2005 OR 2006 OR 2007 OR 2008 OR 2009 OR 2010 OR 2011 OR 2012 OR 2013))</v>
      </c>
      <c r="P16">
        <v>8</v>
      </c>
      <c r="Q16">
        <v>30701</v>
      </c>
    </row>
    <row r="17" spans="1:17">
      <c r="A17">
        <v>31234</v>
      </c>
      <c r="B17" t="s">
        <v>361</v>
      </c>
      <c r="C17" t="s">
        <v>361</v>
      </c>
      <c r="D17" s="10" t="s">
        <v>166</v>
      </c>
      <c r="E17" s="10" t="s">
        <v>42</v>
      </c>
      <c r="H17" s="12" t="str">
        <f>TRIM(E17)</f>
        <v>Davis</v>
      </c>
      <c r="I17" s="12" t="str">
        <f t="shared" si="1"/>
        <v>L</v>
      </c>
      <c r="L17" t="str">
        <f>"AU=("&amp;H17&amp;" "&amp;I17&amp;")"</f>
        <v>AU=(Davis L)</v>
      </c>
      <c r="M17" t="s">
        <v>1055</v>
      </c>
      <c r="N17" t="s">
        <v>1161</v>
      </c>
      <c r="O17" t="str">
        <f t="shared" si="3"/>
        <v>(AU=(Davis L) AND ((og=(Boise State*) OR oo=(Boise State*) OR ad=(Boise State*)) OR (og=(Coll* Saint Benedict*) OR oo=(Coll* Saint Benedict*) OR ad=(Coll* Saint Benedict*)) OR (og=(Southern Utah*) OR oo=(Southern Utah*) OR ad=(Southern Utah*)) OR ((og=(univ* Notre Dame*) OR oo=(univ* Notre Dame*) OR ad=(univ* Notre Dame*)) AND ad=(Australia)) OR (og=(Washington State*) OR oo=(Washington State*) OR ad=(Washington State*)) OR (og=(Western Washington*) OR oo=(Western Washington*) OR ad=(Western Washington*)))) AND (PY=(1981 OR 1982 OR 1983 OR 1984 OR 1985 OR 1986 OR 1987 OR 1988 OR 1989 OR 1990 OR 1991 OR 1992 OR 1993 OR 1994 OR 1995 OR 1996 OR 1997 OR 1998 OR 1999 OR 2000 OR 2001 OR 2002 OR 2003 OR 2004 OR 2005 OR 2006 OR 2007 OR 2008 OR 2009 OR 2010 OR 2011 OR 2012 OR 2013))</v>
      </c>
      <c r="P17">
        <v>8</v>
      </c>
      <c r="Q17">
        <v>31234</v>
      </c>
    </row>
    <row r="18" spans="1:17">
      <c r="A18">
        <v>39369</v>
      </c>
      <c r="B18" t="s">
        <v>302</v>
      </c>
      <c r="C18" t="s">
        <v>718</v>
      </c>
      <c r="D18" s="10" t="s">
        <v>175</v>
      </c>
      <c r="E18" s="10" t="s">
        <v>759</v>
      </c>
      <c r="H18" s="12" t="str">
        <f>TRIM(E18)</f>
        <v>TeStrake</v>
      </c>
      <c r="I18" s="12" t="str">
        <f t="shared" si="1"/>
        <v>D</v>
      </c>
      <c r="L18" t="str">
        <f>"AU=("&amp;H18&amp;" "&amp;I18&amp;")"</f>
        <v>AU=(TeStrake D)</v>
      </c>
      <c r="M18" t="s">
        <v>1052</v>
      </c>
      <c r="N18" t="s">
        <v>1166</v>
      </c>
      <c r="O18" t="str">
        <f t="shared" si="3"/>
        <v>(AU=(TeStrake D) AND ((og=(California State*) OR oo=(California State*) OR ad=(California State*)) OR (og=(Duke*) OR oo=(Duke*) OR ad=(Duke*)) OR (og=(Greensboro*) OR oo=(Greensboro*) OR ad=(Greensboro*)) OR (og=(univ* Florida*) OR oo=(univ* Florida*) OR ad=(univ* Florida*)) OR (og=(univ* South Florida*) OR oo=(univ* South Florida*) OR ad=(univ* South Florida*)))) AND (PY=(1957 OR 1958 OR 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18">
        <v>8</v>
      </c>
      <c r="Q18">
        <v>39369</v>
      </c>
    </row>
    <row r="19" spans="1:17">
      <c r="A19">
        <v>30422</v>
      </c>
      <c r="B19" t="s">
        <v>165</v>
      </c>
      <c r="C19" t="s">
        <v>165</v>
      </c>
      <c r="D19" s="10" t="s">
        <v>166</v>
      </c>
      <c r="E19" s="10" t="s">
        <v>3</v>
      </c>
      <c r="H19" s="12" t="str">
        <f>TRIM(E19)</f>
        <v>Thompson</v>
      </c>
      <c r="I19" s="12" t="str">
        <f t="shared" si="1"/>
        <v>L</v>
      </c>
      <c r="L19" t="str">
        <f>"AU=("&amp;H19&amp;" "&amp;I19&amp;")"</f>
        <v>AU=(Thompson L)</v>
      </c>
      <c r="M19" t="s">
        <v>1053</v>
      </c>
      <c r="N19" t="s">
        <v>1154</v>
      </c>
      <c r="O19" t="str">
        <f t="shared" si="3"/>
        <v>(AU=(Thompson L) AND ((og=(Lane*) OR oo=(Lane*) OR ad=(Lane*)) OR (og=(univ* Alabama*) OR oo=(univ* Alabama*) OR ad=(univ* Alabama*)))) AND (PY=(1996 OR 1997 OR 1998 OR 1999 OR 2000 OR 2001 OR 2002 OR 2003 OR 2004 OR 2005 OR 2006 OR 2007 OR 2008 OR 2009 OR 2010 OR 2011 OR 2012 OR 2013))</v>
      </c>
      <c r="P19">
        <v>9</v>
      </c>
      <c r="Q19">
        <v>30422</v>
      </c>
    </row>
    <row r="20" spans="1:17">
      <c r="A20">
        <v>30341</v>
      </c>
      <c r="B20" t="s">
        <v>117</v>
      </c>
      <c r="C20" t="s">
        <v>724</v>
      </c>
      <c r="D20" s="10" t="s">
        <v>118</v>
      </c>
      <c r="E20" s="10" t="s">
        <v>750</v>
      </c>
      <c r="F20" s="10" t="s">
        <v>119</v>
      </c>
      <c r="H20" s="12" t="str">
        <f>TRIM(F20)</f>
        <v>Allen</v>
      </c>
      <c r="I20" s="12" t="str">
        <f t="shared" si="1"/>
        <v>S</v>
      </c>
      <c r="J20" s="12" t="str">
        <f>MID(TRIM(E20),1,1)</f>
        <v>V</v>
      </c>
      <c r="L20" t="str">
        <f>"AU=("&amp;H20&amp;" "&amp;I20&amp;" OR "&amp;H20&amp;" "&amp;J20&amp;")"</f>
        <v>AU=(Allen S OR Allen V)</v>
      </c>
      <c r="M20" t="s">
        <v>1062</v>
      </c>
      <c r="N20" t="s">
        <v>1152</v>
      </c>
      <c r="O20" t="str">
        <f t="shared" si="3"/>
        <v>(AU=(Allen S OR Allen V) AND ((og=(East Carolina*) OR oo=(East Carolina*) OR ad=(East Carolina*)) OR (og=(Fayetteville State*) OR oo=(Fayetteville State*) OR ad=(Fayetteville State*)) OR (og=(North Carolina State*) OR oo=(North Carolina State*) OR ad=(North Carolina State*)))) AND (PY=(1993 OR 1994 OR 1995 OR 1996 OR 1997 OR 1998 OR 1999 OR 2000 OR 2001 OR 2002 OR 2003 OR 2004 OR 2005 OR 2006 OR 2007 OR 2008 OR 2009 OR 2010 OR 2011 OR 2012 OR 2013))</v>
      </c>
      <c r="P20">
        <v>10</v>
      </c>
      <c r="Q20">
        <v>30341</v>
      </c>
    </row>
    <row r="21" spans="1:17">
      <c r="A21">
        <v>33436</v>
      </c>
      <c r="B21" t="s">
        <v>346</v>
      </c>
      <c r="C21" t="s">
        <v>744</v>
      </c>
      <c r="D21" s="10" t="s">
        <v>7</v>
      </c>
      <c r="E21" s="10" t="s">
        <v>753</v>
      </c>
      <c r="F21" s="10" t="s">
        <v>771</v>
      </c>
      <c r="H21" s="12" t="str">
        <f>TRIM(F21)</f>
        <v>Paaswell </v>
      </c>
      <c r="I21" s="12" t="str">
        <f t="shared" si="1"/>
        <v>R</v>
      </c>
      <c r="J21" s="12" t="str">
        <f>MID(TRIM(E21),1,1)</f>
        <v>E</v>
      </c>
      <c r="L21" t="str">
        <f>"AU=("&amp;H21&amp;" "&amp;I21&amp;" OR "&amp;H21&amp;" "&amp;J21&amp;")"</f>
        <v>AU=(Paaswell  R OR Paaswell  E)</v>
      </c>
      <c r="M21" t="s">
        <v>1057</v>
      </c>
      <c r="N21" t="s">
        <v>1165</v>
      </c>
      <c r="O21" t="str">
        <f t="shared" si="3"/>
        <v>(AU=(Paaswell  R OR Paaswell  E) AND (((og=(City College of New York*) OR oo=(City College of New York*) OR ad=(City College of New York*)) AND ad=(Marshak Hall)) OR ((og=(City University of New York*) OR oo=(City University of New York*) OR ad=(City University of New York*)) AND ad=(Marshak Hall)) OR ((og=(CUNY*) OR oo=(CUNY*) OR ad=(CUNY*)) AND ad=(Marshak Hall)) OR ((og=(City University of New York*) OR oo=(City University of New York*) OR ad=(City University of New York*)) AND ad=(City College)) OR ((og=(CUNY*) OR oo=(CUNY*) OR ad=(CUNY*)) AND ad=(City College)) OR (og=(Columbia*) OR oo=(Columbia*) OR ad=(Columbia*)) OR (og=(Rutgers*) OR oo=(Rutgers*) OR ad=(Rutgers*)) OR ((og=(State University of New York*) OR oo=(State University of New York*) OR ad=(State University of New York*)) AND ad=(Buffalo)) OR ((og=(SUNY*) OR oo=(SUNY*) OR ad=(SUNY*)) AND ad=(Buffalo)) OR ((og=(univ* Illinois*) OR oo=(univ* Illinois*) OR ad=(univ* Illinois*)) AND ad=(Chicago)))) AND (PY=(1959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21">
        <v>10</v>
      </c>
      <c r="Q21">
        <v>33436</v>
      </c>
    </row>
    <row r="22" spans="1:17">
      <c r="A22">
        <v>37314</v>
      </c>
      <c r="B22" t="s">
        <v>127</v>
      </c>
      <c r="C22" t="s">
        <v>730</v>
      </c>
      <c r="D22" s="10" t="s">
        <v>374</v>
      </c>
      <c r="E22" s="10" t="s">
        <v>750</v>
      </c>
      <c r="F22" s="10" t="s">
        <v>128</v>
      </c>
      <c r="H22" s="12" t="str">
        <f>TRIM(F22)</f>
        <v>Reddy</v>
      </c>
      <c r="I22" s="12" t="str">
        <f t="shared" si="1"/>
        <v>D</v>
      </c>
      <c r="J22" s="12" t="str">
        <f>MID(TRIM(E22),1,1)</f>
        <v>V</v>
      </c>
      <c r="L22" t="str">
        <f>"AU=("&amp;H22&amp;" "&amp;I22&amp;" OR "&amp;H22&amp;" "&amp;J22&amp;")"</f>
        <v>AU=(Reddy D OR Reddy V)</v>
      </c>
      <c r="M22" t="s">
        <v>1058</v>
      </c>
      <c r="N22" t="s">
        <v>1175</v>
      </c>
      <c r="O22" t="str">
        <f t="shared" si="3"/>
        <v>(AU=(Reddy D OR Reddy V) AND ((og=(Florida Atlantic*) OR oo=(Florida Atlantic*) OR ad=(Florida Atlantic*)) OR (og=(univ* Liverpool*) OR oo=(univ* Liverpool*) OR ad=(univ* Liverpool*)))) AND (PY=(1954 OR 1955 OR 1956 OR 1957 OR 1958 OR 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22">
        <v>12</v>
      </c>
      <c r="Q22">
        <v>37314</v>
      </c>
    </row>
    <row r="23" spans="1:17">
      <c r="A23">
        <v>48699</v>
      </c>
      <c r="B23" t="s">
        <v>231</v>
      </c>
      <c r="C23" t="s">
        <v>231</v>
      </c>
      <c r="D23" s="10" t="s">
        <v>18</v>
      </c>
      <c r="E23" s="10" t="s">
        <v>27</v>
      </c>
      <c r="H23" s="12" t="str">
        <f>TRIM(E23)</f>
        <v>Anderson</v>
      </c>
      <c r="I23" s="12" t="str">
        <f t="shared" si="1"/>
        <v>L</v>
      </c>
      <c r="L23" t="str">
        <f>"AU=("&amp;H23&amp;" "&amp;I23&amp;")"</f>
        <v>AU=(Anderson L)</v>
      </c>
      <c r="M23" t="s">
        <v>1071</v>
      </c>
      <c r="N23" t="s">
        <v>1160</v>
      </c>
      <c r="O23" t="str">
        <f t="shared" si="3"/>
        <v>(AU=(Anderson L) AND ((og=(Massachusetts Institute of Technology*) OR oo=(Massachusetts Institute of Technology*) OR ad=(Massachusetts Institute of Technology*)) OR ((og=(State University of New York*) OR oo=(State University of New York*) OR ad=(State University of New York*)) AND ad=(Binghamton)) OR ((og=(SUNY*) OR oo=(SUNY*) OR ad=(SUNY*)) AND ad=(Binghamton)))) AND (PY=(1988 OR 1989 OR 1990 OR 1991 OR 1992 OR 1993 OR 1994 OR 1995 OR 1996 OR 1997 OR 1998 OR 1999 OR 2000 OR 2001 OR 2002 OR 2003 OR 2004 OR 2005 OR 2006 OR 2007 OR 2008 OR 2009 OR 2010 OR 2011 OR 2012 OR 2013))</v>
      </c>
      <c r="P23">
        <v>13</v>
      </c>
      <c r="Q23">
        <v>48699</v>
      </c>
    </row>
    <row r="24" spans="1:17">
      <c r="A24">
        <v>49000</v>
      </c>
      <c r="B24" t="s">
        <v>271</v>
      </c>
      <c r="C24" t="s">
        <v>271</v>
      </c>
      <c r="D24" s="10" t="s">
        <v>55</v>
      </c>
      <c r="E24" s="10" t="s">
        <v>272</v>
      </c>
      <c r="H24" s="12" t="str">
        <f>TRIM(E24)</f>
        <v>Chalkley</v>
      </c>
      <c r="I24" s="12" t="str">
        <f t="shared" si="1"/>
        <v>R</v>
      </c>
      <c r="L24" t="str">
        <f>"AU=("&amp;H24&amp;" "&amp;I24&amp;")"</f>
        <v>AU=(Chalkley R)</v>
      </c>
      <c r="M24" t="s">
        <v>1059</v>
      </c>
      <c r="N24" t="s">
        <v>1181</v>
      </c>
      <c r="O24" t="str">
        <f t="shared" si="3"/>
        <v>(AU=(Chalkley R) AND ((og=(univ* Cincinnati*) OR oo=(univ* Cincinnati*) OR ad=(univ* Cincinnati*)))) AND (PY=(1952 OR 1953 OR 1954 OR 1955 OR 1956 OR 1957 OR 1958 OR 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24">
        <v>13</v>
      </c>
      <c r="Q24">
        <v>49000</v>
      </c>
    </row>
    <row r="25" spans="1:17">
      <c r="A25">
        <v>30932</v>
      </c>
      <c r="B25" t="s">
        <v>90</v>
      </c>
      <c r="C25" t="s">
        <v>725</v>
      </c>
      <c r="D25" s="10" t="s">
        <v>91</v>
      </c>
      <c r="E25" s="10" t="s">
        <v>751</v>
      </c>
      <c r="F25" s="10" t="s">
        <v>92</v>
      </c>
      <c r="H25" s="12" t="str">
        <f>TRIM(F25)</f>
        <v>Sahu</v>
      </c>
      <c r="I25" s="12" t="str">
        <f t="shared" si="1"/>
        <v>A</v>
      </c>
      <c r="J25" s="12" t="str">
        <f>MID(TRIM(E25),1,1)</f>
        <v>R</v>
      </c>
      <c r="L25" t="str">
        <f>"AU=("&amp;H25&amp;" "&amp;I25&amp;" OR "&amp;H25&amp;" "&amp;J25&amp;")"</f>
        <v>AU=(Sahu A OR Sahu R)</v>
      </c>
      <c r="M25" t="s">
        <v>1050</v>
      </c>
      <c r="O25" t="str">
        <f t="shared" si="3"/>
        <v>(AU=(Sahu A OR Sahu R) AND ((og=(Coppin State*) OR oo=(Coppin State*) OR ad=(Coppin State*)) OR (og=(Coppin State*) OR oo=(Coppin State*) OR ad=(Coppin State*)) OR ((og=(univ* Maryland*) OR oo=(univ* Maryland*) OR ad=(univ* Maryland*)) AND ad=(College Park)) OR (og=(univ* Roorkee*) OR oo=(univ* Roorkee*) OR ad=(univ* Roorkee*))))</v>
      </c>
      <c r="P25">
        <v>14</v>
      </c>
      <c r="Q25">
        <v>30932</v>
      </c>
    </row>
    <row r="26" spans="1:17">
      <c r="A26">
        <v>38326</v>
      </c>
      <c r="B26" t="s">
        <v>357</v>
      </c>
      <c r="C26" t="s">
        <v>357</v>
      </c>
      <c r="D26" s="10" t="s">
        <v>8</v>
      </c>
      <c r="E26" s="10" t="s">
        <v>775</v>
      </c>
      <c r="H26" s="12" t="str">
        <f>TRIM(E26)</f>
        <v>Bolker</v>
      </c>
      <c r="I26" s="12" t="str">
        <f t="shared" si="1"/>
        <v>E</v>
      </c>
      <c r="L26" t="str">
        <f>"AU=("&amp;H26&amp;" "&amp;I26&amp;")"</f>
        <v>AU=(Bolker E)</v>
      </c>
      <c r="M26" t="s">
        <v>1061</v>
      </c>
      <c r="N26" t="s">
        <v>1165</v>
      </c>
      <c r="O26" t="str">
        <f t="shared" si="3"/>
        <v>(AU=(Bolker E) AND ((og=(Bryn Mawr*) OR oo=(Bryn Mawr*) OR ad=(Bryn Mawr*)) OR (og=(Harvard*) OR oo=(Harvard*) OR ad=(Harvard*)) OR (og=(Princeton*) OR oo=(Princeton*) OR ad=(Princeton*)) OR (og=(univ* California*) OR oo=(univ* California*) OR ad=(univ* California*)) OR (og=(univ* Massachusetts*) OR oo=(univ* Massachusetts*) OR ad=(univ* Massachusetts*)))) AND (PY=(1959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26">
        <v>14</v>
      </c>
      <c r="Q26">
        <v>38326</v>
      </c>
    </row>
    <row r="27" spans="1:17">
      <c r="A27">
        <v>38827</v>
      </c>
      <c r="B27" t="s">
        <v>327</v>
      </c>
      <c r="C27" t="s">
        <v>327</v>
      </c>
      <c r="D27" s="10" t="s">
        <v>98</v>
      </c>
      <c r="E27" s="10" t="s">
        <v>119</v>
      </c>
      <c r="H27" s="12" t="str">
        <f>TRIM(E27)</f>
        <v>Allen</v>
      </c>
      <c r="I27" s="12" t="str">
        <f t="shared" si="1"/>
        <v>E</v>
      </c>
      <c r="L27" t="str">
        <f>"AU=("&amp;H27&amp;" "&amp;I27&amp;")"</f>
        <v>AU=(Allen E)</v>
      </c>
      <c r="M27" t="s">
        <v>1088</v>
      </c>
      <c r="N27" t="s">
        <v>1172</v>
      </c>
      <c r="O27" t="str">
        <f t="shared" si="3"/>
        <v>(AU=(Allen E) AND ((og=(Brigham Young*) OR oo=(Brigham Young*) OR ad=(Brigham Young*)) OR ((og=(univ* California*) OR oo=(univ* California*) OR ad=(univ* California*)) AND ad=(San Diego)) OR (og=(Wake Forest*) OR oo=(Wake Forest*) OR ad=(Wake Forest*)))) AND (PY=(1985 OR 1986 OR 1987 OR 1988 OR 1989 OR 1990 OR 1991 OR 1992 OR 1993 OR 1994 OR 1995 OR 1996 OR 1997 OR 1998 OR 1999 OR 2000 OR 2001 OR 2002 OR 2003 OR 2004 OR 2005 OR 2006 OR 2007 OR 2008 OR 2009 OR 2010 OR 2011 OR 2012 OR 2013))</v>
      </c>
      <c r="P27">
        <v>15</v>
      </c>
      <c r="Q27">
        <v>38827</v>
      </c>
    </row>
    <row r="28" spans="1:17">
      <c r="A28">
        <v>50890</v>
      </c>
      <c r="B28" t="s">
        <v>169</v>
      </c>
      <c r="C28" t="s">
        <v>169</v>
      </c>
      <c r="D28" s="10" t="s">
        <v>170</v>
      </c>
      <c r="E28" s="10" t="s">
        <v>767</v>
      </c>
      <c r="F28" s="10" t="s">
        <v>4</v>
      </c>
      <c r="H28" s="12" t="str">
        <f>TRIM(F28)</f>
        <v>Rogers</v>
      </c>
      <c r="I28" s="12" t="str">
        <f t="shared" si="1"/>
        <v>K</v>
      </c>
      <c r="J28" s="12" t="str">
        <f>MID(TRIM(E28),1,1)</f>
        <v>C</v>
      </c>
      <c r="L28" t="str">
        <f>"AU=("&amp;H28&amp;" "&amp;I28&amp;" OR "&amp;H28&amp;" "&amp;J28&amp;")"</f>
        <v>AU=(Rogers K OR Rogers C)</v>
      </c>
      <c r="M28" t="s">
        <v>1060</v>
      </c>
      <c r="N28" t="s">
        <v>1168</v>
      </c>
      <c r="O28" t="str">
        <f t="shared" si="3"/>
        <v>(AU=(Rogers K OR Rogers C) AND ((og=(Macalester*) OR oo=(Macalester*) OR ad=(Macalester*)) OR (og=(Montana State*) OR oo=(Montana State*) OR ad=(Montana State*)) OR (og=(Science Museum of Minnesota*) OR oo=(Science Museum of Minnesota*) OR ad=(Science Museum of Minnesota*)) OR (og=(Stony Brook*) OR oo=(Stony Brook*) OR ad=(Stony Brook*)))) AND (PY=(1995 OR 1996 OR 1997 OR 1998 OR 1999 OR 2000 OR 2001 OR 2002 OR 2003 OR 2004 OR 2005 OR 2006 OR 2007 OR 2008 OR 2009 OR 2010 OR 2011 OR 2012 OR 2013))</v>
      </c>
      <c r="P28">
        <v>15</v>
      </c>
      <c r="Q28">
        <v>50890</v>
      </c>
    </row>
    <row r="29" spans="1:17">
      <c r="A29">
        <v>30061</v>
      </c>
      <c r="B29" t="s">
        <v>140</v>
      </c>
      <c r="C29" t="s">
        <v>140</v>
      </c>
      <c r="D29" s="10" t="s">
        <v>120</v>
      </c>
      <c r="E29" s="10" t="s">
        <v>141</v>
      </c>
      <c r="H29" s="12" t="str">
        <f t="shared" ref="H29:H34" si="4">TRIM(E29)</f>
        <v>Ampy</v>
      </c>
      <c r="I29" s="12" t="str">
        <f t="shared" si="1"/>
        <v>F</v>
      </c>
      <c r="L29" t="str">
        <f t="shared" ref="L29:L34" si="5">"AU=("&amp;H29&amp;" "&amp;I29&amp;")"</f>
        <v>AU=(Ampy F)</v>
      </c>
      <c r="M29" t="s">
        <v>1065</v>
      </c>
      <c r="N29" t="s">
        <v>1150</v>
      </c>
      <c r="O29" t="str">
        <f t="shared" si="3"/>
        <v>(AU=(Ampy F) AND ((og=(Howard*) OR oo=(Howard*) OR ad=(Howard*)) OR (og=(Oregon State*) OR oo=(Oregon State*) OR ad=(Oregon State*)))) AND (PY=(1956 OR 1957 OR 1958 OR 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29">
        <v>17</v>
      </c>
      <c r="Q29">
        <v>30061</v>
      </c>
    </row>
    <row r="30" spans="1:17">
      <c r="A30">
        <v>33177</v>
      </c>
      <c r="B30" t="s">
        <v>224</v>
      </c>
      <c r="C30" t="s">
        <v>224</v>
      </c>
      <c r="D30" s="10" t="s">
        <v>225</v>
      </c>
      <c r="E30" s="10" t="s">
        <v>226</v>
      </c>
      <c r="H30" s="12" t="str">
        <f t="shared" si="4"/>
        <v>Zhou</v>
      </c>
      <c r="I30" s="12" t="str">
        <f t="shared" si="1"/>
        <v>H</v>
      </c>
      <c r="L30" t="str">
        <f t="shared" si="5"/>
        <v>AU=(Zhou H)</v>
      </c>
      <c r="M30" t="s">
        <v>1063</v>
      </c>
      <c r="N30" t="s">
        <v>1168</v>
      </c>
      <c r="O30" t="str">
        <f t="shared" si="3"/>
        <v>(AU=(Zhou H) AND ((og=(Beijing Jiao-Tong*) OR oo=(Beijing Jiao-Tong*) OR ad=(Beijing Jiao-Tong*)) OR ((og=(Southern Illinois Univ*) OR oo=(Southern Illinois Univ*) OR ad=(Southern Illinois Univ*)) AND ad=(Edwardsville)) OR (og=(univ* South Florida*) OR oo=(univ* South Florida*) OR ad=(univ* South Florida*)))) AND (PY=(1995 OR 1996 OR 1997 OR 1998 OR 1999 OR 2000 OR 2001 OR 2002 OR 2003 OR 2004 OR 2005 OR 2006 OR 2007 OR 2008 OR 2009 OR 2010 OR 2011 OR 2012 OR 2013))</v>
      </c>
      <c r="P30">
        <v>18</v>
      </c>
      <c r="Q30">
        <v>33177</v>
      </c>
    </row>
    <row r="31" spans="1:17">
      <c r="A31">
        <v>30364</v>
      </c>
      <c r="B31" t="s">
        <v>368</v>
      </c>
      <c r="C31" t="s">
        <v>368</v>
      </c>
      <c r="D31" s="10" t="s">
        <v>167</v>
      </c>
      <c r="E31" s="10" t="s">
        <v>153</v>
      </c>
      <c r="H31" s="12" t="str">
        <f t="shared" si="4"/>
        <v>Martin</v>
      </c>
      <c r="I31" s="12" t="str">
        <f t="shared" si="1"/>
        <v>P</v>
      </c>
      <c r="L31" t="str">
        <f t="shared" si="5"/>
        <v>AU=(Martin P)</v>
      </c>
      <c r="M31" t="s">
        <v>1070</v>
      </c>
      <c r="N31" t="s">
        <v>1153</v>
      </c>
      <c r="O31" t="str">
        <f t="shared" si="3"/>
        <v>(AU=(Martin P) AND ((og=(Fisk*) OR oo=(Fisk*) OR ad=(Fisk*)) OR (og=(North Carolina A&amp;T State*) OR oo=(North Carolina A&amp;T State*) OR ad=(North Carolina A&amp;T State*)) OR (og=(North Carolina A&amp;T State*) OR oo=(North Carolina A&amp;T State*) OR ad=(North Carolina A&amp;T State*)) OR (og=(univ* Virginia*) OR oo=(univ* Virginia*) OR ad=(univ* Virginia*)) OR (og=(Virginia Union*) OR oo=(Virginia Union*) OR ad=(Virginia Union*)))) AND (PY=(1997 OR 1998 OR 1999 OR 2000 OR 2001 OR 2002 OR 2003 OR 2004 OR 2005 OR 2006 OR 2007 OR 2008 OR 2009 OR 2010 OR 2011 OR 2012 OR 2013))</v>
      </c>
      <c r="P31">
        <v>22</v>
      </c>
      <c r="Q31">
        <v>30364</v>
      </c>
    </row>
    <row r="32" spans="1:17">
      <c r="A32">
        <v>34545</v>
      </c>
      <c r="B32" t="s">
        <v>210</v>
      </c>
      <c r="C32" t="s">
        <v>210</v>
      </c>
      <c r="D32" s="10" t="s">
        <v>211</v>
      </c>
      <c r="E32" s="10" t="s">
        <v>63</v>
      </c>
      <c r="H32" s="12" t="str">
        <f t="shared" si="4"/>
        <v>Zeng</v>
      </c>
      <c r="I32" s="12" t="str">
        <f t="shared" si="1"/>
        <v>X</v>
      </c>
      <c r="L32" t="str">
        <f t="shared" si="5"/>
        <v>AU=(Zeng X)</v>
      </c>
      <c r="M32" t="s">
        <v>1066</v>
      </c>
      <c r="N32" t="s">
        <v>1170</v>
      </c>
      <c r="O32" t="str">
        <f t="shared" si="3"/>
        <v>(AU=(Zeng X) AND ((og=(Rowan*) OR oo=(Rowan*) OR ad=(Rowan*)) OR ((og=(Washington Univ*) OR oo=(Washington Univ*) OR ad=(Washington Univ*)) AND ad=(St. Louis)))) AND (PY=(1979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32">
        <v>23</v>
      </c>
      <c r="Q32">
        <v>34545</v>
      </c>
    </row>
    <row r="33" spans="1:17">
      <c r="A33">
        <v>44441</v>
      </c>
      <c r="B33" t="s">
        <v>95</v>
      </c>
      <c r="C33" t="s">
        <v>95</v>
      </c>
      <c r="D33" s="10" t="s">
        <v>96</v>
      </c>
      <c r="E33" s="10" t="s">
        <v>97</v>
      </c>
      <c r="H33" s="12" t="str">
        <f t="shared" si="4"/>
        <v>Richardson</v>
      </c>
      <c r="I33" s="12" t="str">
        <f t="shared" si="1"/>
        <v>R</v>
      </c>
      <c r="L33" t="str">
        <f t="shared" si="5"/>
        <v>AU=(Richardson R)</v>
      </c>
      <c r="M33" t="s">
        <v>1097</v>
      </c>
      <c r="N33" t="s">
        <v>1168</v>
      </c>
      <c r="O33" t="str">
        <f t="shared" si="3"/>
        <v>(AU=(Richardson R) AND ((og=(Cornell*) OR oo=(Cornell*) OR ad=(Cornell*)) OR (og=(Manhattan*) OR oo=(Manhattan*) OR ad=(Manhattan*)) OR ((og=(univ* California*) OR oo=(univ* California*) OR ad=(univ* California*)) AND ad=(Berkeley)))) AND (PY=(1995 OR 1996 OR 1997 OR 1998 OR 1999 OR 2000 OR 2001 OR 2002 OR 2003 OR 2004 OR 2005 OR 2006 OR 2007 OR 2008 OR 2009 OR 2010 OR 2011 OR 2012 OR 2013))</v>
      </c>
      <c r="P33">
        <v>23</v>
      </c>
      <c r="Q33">
        <v>44441</v>
      </c>
    </row>
    <row r="34" spans="1:17">
      <c r="A34">
        <v>51718</v>
      </c>
      <c r="B34" t="s">
        <v>203</v>
      </c>
      <c r="C34" t="s">
        <v>203</v>
      </c>
      <c r="D34" s="10" t="s">
        <v>204</v>
      </c>
      <c r="E34" s="10" t="s">
        <v>6</v>
      </c>
      <c r="H34" s="12" t="str">
        <f t="shared" si="4"/>
        <v>Jones</v>
      </c>
      <c r="I34" s="12" t="str">
        <f t="shared" ref="I34:I65" si="6">MID(TRIM(D34),1,1)</f>
        <v>A</v>
      </c>
      <c r="L34" t="str">
        <f t="shared" si="5"/>
        <v>AU=(Jones A)</v>
      </c>
      <c r="M34" t="s">
        <v>1110</v>
      </c>
      <c r="N34" t="s">
        <v>1158</v>
      </c>
      <c r="O34" t="str">
        <f t="shared" ref="O34:O65" si="7">"("&amp;L34&amp;" AND ("&amp;M34&amp;"))"&amp;N34</f>
        <v>(AU=(Jones A) AND ((og=(Reed*) OR oo=(Reed*) OR ad=(Reed*)) OR ((og=(univ* California*) OR oo=(univ* California*) OR ad=(univ* California*)) AND ad=(Los Angeles)) OR (og=(Yale*) OR oo=(Yale*) OR ad=(Yale*)))) AND (PY=(1980 OR 1981 OR 1982 OR 1983 OR 1984 OR 1985 OR 1986 OR 1987 OR 1988 OR 1989 OR 1990 OR 1991 OR 1992 OR 1993 OR 1994 OR 1995 OR 1996 OR 1997 OR 1998 OR 1999 OR 2000 OR 2001 OR 2002 OR 2003 OR 2004 OR 2005 OR 2006 OR 2007 OR 2008 OR 2009 OR 2010 OR 2011 OR 2012 OR 2013))</v>
      </c>
      <c r="P34">
        <v>25</v>
      </c>
      <c r="Q34">
        <v>51718</v>
      </c>
    </row>
    <row r="35" spans="1:17">
      <c r="A35">
        <v>30100</v>
      </c>
      <c r="B35" t="s">
        <v>67</v>
      </c>
      <c r="C35" t="s">
        <v>723</v>
      </c>
      <c r="D35" s="10" t="s">
        <v>68</v>
      </c>
      <c r="E35" s="10" t="s">
        <v>749</v>
      </c>
      <c r="F35" s="10" t="s">
        <v>69</v>
      </c>
      <c r="H35" s="12" t="str">
        <f>TRIM(F35)</f>
        <v>Moore</v>
      </c>
      <c r="I35" s="12" t="str">
        <f t="shared" si="6"/>
        <v>T</v>
      </c>
      <c r="J35" s="12" t="str">
        <f>MID(TRIM(E35),1,1)</f>
        <v>O</v>
      </c>
      <c r="L35" t="str">
        <f>"AU=("&amp;H35&amp;" "&amp;I35&amp;" OR "&amp;H35&amp;" "&amp;J35&amp;")"</f>
        <v>AU=(Moore T OR Moore O)</v>
      </c>
      <c r="M35" t="s">
        <v>1069</v>
      </c>
      <c r="N35" t="s">
        <v>1151</v>
      </c>
      <c r="O35" t="str">
        <f t="shared" si="7"/>
        <v>(AU=(Moore T OR Moore O) AND ((og=(Clark Atlanta*) OR oo=(Clark Atlanta*) OR ad=(Clark Atlanta*)) OR (og=(Howard*) OR oo=(Howard*) OR ad=(Howard*)))) AND (PY=(1987 OR 1988 OR 1989 OR 1990 OR 1991 OR 1992 OR 1993 OR 1994 OR 1995 OR 1996 OR 1997 OR 1998 OR 1999 OR 2000 OR 2001 OR 2002 OR 2003 OR 2004 OR 2005 OR 2006 OR 2007 OR 2008 OR 2009 OR 2010 OR 2011 OR 2012 OR 2013))</v>
      </c>
      <c r="P35">
        <v>26</v>
      </c>
      <c r="Q35">
        <v>30100</v>
      </c>
    </row>
    <row r="36" spans="1:17">
      <c r="A36">
        <v>33130</v>
      </c>
      <c r="B36" t="s">
        <v>114</v>
      </c>
      <c r="C36" t="s">
        <v>727</v>
      </c>
      <c r="D36" s="10" t="s">
        <v>753</v>
      </c>
      <c r="E36" s="10" t="s">
        <v>754</v>
      </c>
      <c r="F36" s="10" t="s">
        <v>115</v>
      </c>
      <c r="H36" s="12" t="str">
        <f>TRIM(F36)</f>
        <v>Hadjimichael</v>
      </c>
      <c r="I36" s="12" t="str">
        <f t="shared" si="6"/>
        <v>E</v>
      </c>
      <c r="J36" s="12" t="str">
        <f>MID(TRIM(E36),1,1)</f>
        <v>V</v>
      </c>
      <c r="L36" t="str">
        <f>"AU=("&amp;H36&amp;" "&amp;I36&amp;" OR "&amp;H36&amp;" "&amp;J36&amp;")"</f>
        <v>AU=(Hadjimichael E OR Hadjimichael V)</v>
      </c>
      <c r="M36" t="s">
        <v>1068</v>
      </c>
      <c r="N36" t="s">
        <v>1165</v>
      </c>
      <c r="O36" t="str">
        <f t="shared" si="7"/>
        <v>(AU=(Hadjimichael E OR Hadjimichael V) AND ((og=(Fairfield*) OR oo=(Fairfield*) OR ad=(Fairfield*)) OR ((og=(univ* California*) OR oo=(univ* California*) OR ad=(univ* California*)) AND ad=(Berkeley)) OR (og=(Yale*) OR oo=(Yale*) OR ad=(Yale*)))) AND (PY=(1959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36">
        <v>26</v>
      </c>
      <c r="Q36">
        <v>33130</v>
      </c>
    </row>
    <row r="37" spans="1:17">
      <c r="A37">
        <v>40527</v>
      </c>
      <c r="B37" t="s">
        <v>366</v>
      </c>
      <c r="C37" t="s">
        <v>366</v>
      </c>
      <c r="D37" s="10" t="s">
        <v>778</v>
      </c>
      <c r="E37" s="10" t="s">
        <v>112</v>
      </c>
      <c r="H37" s="12" t="str">
        <f>TRIM(E37)</f>
        <v>Young</v>
      </c>
      <c r="I37" s="12" t="str">
        <f t="shared" si="6"/>
        <v>E</v>
      </c>
      <c r="L37" t="str">
        <f>"AU=("&amp;H37&amp;" "&amp;I37&amp;")"</f>
        <v>AU=(Young E)</v>
      </c>
      <c r="M37" t="s">
        <v>1074</v>
      </c>
      <c r="N37" t="s">
        <v>1152</v>
      </c>
      <c r="O37" t="str">
        <f t="shared" si="7"/>
        <v>(AU=(Young E) AND ((og=(Monash*) OR oo=(Monash*) OR ad=(Monash*)) OR (og=(Queen's University of Belfast*) OR oo=(Queen's University of Belfast*) OR ad=(Queen's University of Belfast*)) OR (og=(univ* Western Australia*) OR oo=(univ* Western Australia*) OR ad=(univ* Western Australia*)) OR ((og=(univ* Wisconsin*) OR oo=(univ* Wisconsin*) OR ad=(univ* Wisconsin*)) AND ad=(Milwaukee)))) AND (PY=(1993 OR 1994 OR 1995 OR 1996 OR 1997 OR 1998 OR 1999 OR 2000 OR 2001 OR 2002 OR 2003 OR 2004 OR 2005 OR 2006 OR 2007 OR 2008 OR 2009 OR 2010 OR 2011 OR 2012 OR 2013))</v>
      </c>
      <c r="P37">
        <v>26</v>
      </c>
      <c r="Q37">
        <v>40527</v>
      </c>
    </row>
    <row r="38" spans="1:17">
      <c r="A38">
        <v>52327</v>
      </c>
      <c r="B38" t="s">
        <v>247</v>
      </c>
      <c r="C38" t="s">
        <v>719</v>
      </c>
      <c r="D38" s="10" t="s">
        <v>248</v>
      </c>
      <c r="E38" s="10" t="s">
        <v>13</v>
      </c>
      <c r="H38" s="12" t="str">
        <f>TRIM(E38)</f>
        <v>Wilson</v>
      </c>
      <c r="I38" s="12" t="str">
        <f t="shared" si="6"/>
        <v>B</v>
      </c>
      <c r="L38" t="str">
        <f>"AU=("&amp;H38&amp;" "&amp;I38&amp;")"</f>
        <v>AU=(Wilson B)</v>
      </c>
      <c r="M38" t="s">
        <v>1078</v>
      </c>
      <c r="N38" t="s">
        <v>1178</v>
      </c>
      <c r="O38" t="str">
        <f t="shared" si="7"/>
        <v>(AU=(Wilson B) AND ((og=(Cornell*) OR oo=(Cornell*) OR ad=(Cornell*)) OR (og=(Emerson*) OR oo=(Emerson*) OR ad=(Emerson*)) OR (og=(Fisher*) OR oo=(Fisher*) OR ad=(Fisher*)) OR (og=(Texas A&amp;M International*) OR oo=(Texas A&amp;M International*) OR ad=(Texas A&amp;M International*)) OR (og=(univ* Baltimore*) OR oo=(univ* Baltimore*) OR ad=(univ* Baltimore*)) OR (og=(univ* Kansas*) OR oo=(univ* Kansas*) OR ad=(univ* Kansas*)) OR (og=(univ* Massachusetts*) OR oo=(univ* Massachusetts*) OR ad=(univ* Massachusetts*)))) AND (PY=(2003 OR 2004 OR 2005 OR 2006 OR 2007 OR 2008 OR 2009 OR 2010 OR 2011 OR 2012 OR 2013))</v>
      </c>
      <c r="P38">
        <v>28</v>
      </c>
      <c r="Q38">
        <v>52327</v>
      </c>
    </row>
    <row r="39" spans="1:17">
      <c r="A39">
        <v>53347</v>
      </c>
      <c r="B39" t="s">
        <v>355</v>
      </c>
      <c r="C39" t="s">
        <v>721</v>
      </c>
      <c r="D39" s="10" t="s">
        <v>47</v>
      </c>
      <c r="E39" s="10" t="s">
        <v>274</v>
      </c>
      <c r="H39" s="12" t="str">
        <f>TRIM(E39)</f>
        <v>Keen</v>
      </c>
      <c r="I39" s="12" t="str">
        <f t="shared" si="6"/>
        <v>L</v>
      </c>
      <c r="L39" t="str">
        <f>"AU=("&amp;H39&amp;" "&amp;I39&amp;")"</f>
        <v>AU=(Keen L)</v>
      </c>
      <c r="M39" t="s">
        <v>1067</v>
      </c>
      <c r="N39" t="s">
        <v>1155</v>
      </c>
      <c r="O39" t="str">
        <f t="shared" si="7"/>
        <v>(AU=(Keen L) AND ((og=(City University of New York*) OR oo=(City University of New York*) OR ad=(City University of New York*)) OR (og=(CUNY*) OR oo=(CUNY*) OR ad=(CUNY*)) OR ((og=(City University of New York*) OR oo=(City University of New York*) OR ad=(City University of New York*)) AND ad=(Bronx)) OR ((og=(CUNY*) OR oo=(CUNY*) OR ad=(CUNY*)) AND ad=(Bronx)) OR (og=(New York*) OR oo=(New York*) OR ad=(New York*)))) AND (PY=(1958 OR 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39">
        <v>28</v>
      </c>
      <c r="Q39">
        <v>53347</v>
      </c>
    </row>
    <row r="40" spans="1:17">
      <c r="A40">
        <v>37623</v>
      </c>
      <c r="B40" t="s">
        <v>109</v>
      </c>
      <c r="C40" t="s">
        <v>109</v>
      </c>
      <c r="D40" s="10" t="s">
        <v>110</v>
      </c>
      <c r="E40" s="10" t="s">
        <v>111</v>
      </c>
      <c r="H40" s="12" t="str">
        <f>TRIM(E40)</f>
        <v>Brown</v>
      </c>
      <c r="I40" s="12" t="str">
        <f t="shared" si="6"/>
        <v>E</v>
      </c>
      <c r="L40" t="str">
        <f>"AU=("&amp;H40&amp;" "&amp;I40&amp;")"</f>
        <v>AU=(Brown E)</v>
      </c>
      <c r="M40" t="s">
        <v>1073</v>
      </c>
      <c r="N40" t="s">
        <v>1162</v>
      </c>
      <c r="O40" t="str">
        <f t="shared" si="7"/>
        <v>(AU=(Brown E) AND ((og=(East Carolina*) OR oo=(East Carolina*) OR ad=(East Carolina*)) OR (og=(Furman*) OR oo=(Furman*) OR ad=(Furman*)) OR (og=(North Carolina State*) OR oo=(North Carolina State*) OR ad=(North Carolina State*)) OR (og=(univ* Virginia*) OR oo=(univ* Virginia*) OR ad=(univ* Virginia*)))) AND (PY=(1990 OR 1991 OR 1992 OR 1993 OR 1994 OR 1995 OR 1996 OR 1997 OR 1998 OR 1999 OR 2000 OR 2001 OR 2002 OR 2003 OR 2004 OR 2005 OR 2006 OR 2007 OR 2008 OR 2009 OR 2010 OR 2011 OR 2012 OR 2013))</v>
      </c>
      <c r="P40">
        <v>30</v>
      </c>
      <c r="Q40">
        <v>37623</v>
      </c>
    </row>
    <row r="41" spans="1:17">
      <c r="A41">
        <v>32896</v>
      </c>
      <c r="B41" t="s">
        <v>218</v>
      </c>
      <c r="C41" t="s">
        <v>788</v>
      </c>
      <c r="D41" s="10" t="s">
        <v>26</v>
      </c>
      <c r="E41" s="10" t="s">
        <v>763</v>
      </c>
      <c r="F41" s="10" t="s">
        <v>192</v>
      </c>
      <c r="H41" s="12" t="str">
        <f>TRIM(F41)</f>
        <v>Gilbert</v>
      </c>
      <c r="I41" s="12" t="str">
        <f t="shared" si="6"/>
        <v>J</v>
      </c>
      <c r="J41" s="12" t="str">
        <f>MID(TRIM(E41),1,1)</f>
        <v>C</v>
      </c>
      <c r="L41" t="str">
        <f>"AU=("&amp;H41&amp;" "&amp;I41&amp;" OR "&amp;H41&amp;" "&amp;J41&amp;")"</f>
        <v>AU=(Gilbert J OR Gilbert C)</v>
      </c>
      <c r="M41" t="s">
        <v>1075</v>
      </c>
      <c r="N41" t="s">
        <v>1165</v>
      </c>
      <c r="O41" t="str">
        <f t="shared" si="7"/>
        <v>(AU=(Gilbert J OR Gilbert C) AND ((og=(Santa Clara*) OR oo=(Santa Clara*) OR ad=(Santa Clara*)) OR (og=(univ* Wyoming*) OR oo=(univ* Wyoming*) OR ad=(univ* Wyoming*)) OR (og=(Yale*) OR oo=(Yale*) OR ad=(Yale*)))) AND (PY=(1959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41">
        <v>39</v>
      </c>
      <c r="Q41">
        <v>32896</v>
      </c>
    </row>
    <row r="42" spans="1:17">
      <c r="A42">
        <v>47805</v>
      </c>
      <c r="B42" t="s">
        <v>173</v>
      </c>
      <c r="C42" t="s">
        <v>173</v>
      </c>
      <c r="D42" s="10" t="s">
        <v>37</v>
      </c>
      <c r="E42" s="10" t="s">
        <v>174</v>
      </c>
      <c r="H42" s="12" t="str">
        <f t="shared" ref="H42:H47" si="8">TRIM(E42)</f>
        <v>Kleiman</v>
      </c>
      <c r="I42" s="12" t="str">
        <f t="shared" si="6"/>
        <v>S</v>
      </c>
      <c r="L42" t="str">
        <f t="shared" ref="L42:L47" si="9">"AU=("&amp;H42&amp;" "&amp;I42&amp;")"</f>
        <v>AU=(Kleiman S)</v>
      </c>
      <c r="M42" t="s">
        <v>1072</v>
      </c>
      <c r="N42" t="s">
        <v>1165</v>
      </c>
      <c r="O42" t="str">
        <f t="shared" si="7"/>
        <v>(AU=(Kleiman S) AND ((og=(Harvard*) OR oo=(Harvard*) OR ad=(Harvard*)) OR (og=(Massachusetts Institute of Technology*) OR oo=(Massachusetts Institute of Technology*) OR ad=(Massachusetts Institute of Technology*)) OR (og=(univ* COPENHAGEN*) OR oo=(univ* COPENHAGEN*) OR ad=(univ* COPENHAGEN*)))) AND (PY=(1959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42">
        <v>40</v>
      </c>
      <c r="Q42">
        <v>47805</v>
      </c>
    </row>
    <row r="43" spans="1:17">
      <c r="A43">
        <v>52058</v>
      </c>
      <c r="B43" t="s">
        <v>180</v>
      </c>
      <c r="C43" t="s">
        <v>180</v>
      </c>
      <c r="D43" s="10" t="s">
        <v>131</v>
      </c>
      <c r="E43" s="10" t="s">
        <v>181</v>
      </c>
      <c r="H43" s="12" t="str">
        <f t="shared" si="8"/>
        <v>Chang</v>
      </c>
      <c r="I43" s="12" t="str">
        <f t="shared" si="6"/>
        <v>J</v>
      </c>
      <c r="L43" t="str">
        <f t="shared" si="9"/>
        <v>AU=(Chang J)</v>
      </c>
      <c r="M43" t="s">
        <v>1116</v>
      </c>
      <c r="N43" t="s">
        <v>1162</v>
      </c>
      <c r="O43" t="str">
        <f t="shared" si="7"/>
        <v>(AU=(Chang J) AND ((og=(Mount Saint Mary's*) OR oo=(Mount Saint Mary's*) OR ad=(Mount Saint Mary's*)) OR ((og=(univ* California*) OR oo=(univ* California*) OR ad=(univ* California*)) AND ad=(Irvine)) OR ((og=(univ* California*) OR oo=(univ* California*) OR ad=(univ* California*)) AND ad=(Los Angeles)) OR (og=(univ* Rochester*) OR oo=(univ* Rochester*) OR ad=(univ* Rochester*)))) AND (PY=(1990 OR 1991 OR 1992 OR 1993 OR 1994 OR 1995 OR 1996 OR 1997 OR 1998 OR 1999 OR 2000 OR 2001 OR 2002 OR 2003 OR 2004 OR 2005 OR 2006 OR 2007 OR 2008 OR 2009 OR 2010 OR 2011 OR 2012 OR 2013))</v>
      </c>
      <c r="P43">
        <v>49</v>
      </c>
      <c r="Q43">
        <v>52058</v>
      </c>
    </row>
    <row r="44" spans="1:17">
      <c r="A44">
        <v>31078</v>
      </c>
      <c r="B44" t="s">
        <v>246</v>
      </c>
      <c r="C44" t="s">
        <v>246</v>
      </c>
      <c r="D44" s="10" t="s">
        <v>10</v>
      </c>
      <c r="E44" s="10" t="s">
        <v>31</v>
      </c>
      <c r="H44" s="12" t="str">
        <f t="shared" si="8"/>
        <v>Yang</v>
      </c>
      <c r="I44" s="12" t="str">
        <f t="shared" si="6"/>
        <v>G</v>
      </c>
      <c r="L44" t="str">
        <f t="shared" si="9"/>
        <v>AU=(Yang G)</v>
      </c>
      <c r="M44" t="s">
        <v>1079</v>
      </c>
      <c r="O44" t="str">
        <f t="shared" si="7"/>
        <v>(AU=(Yang G) AND ((og=(Tennessee State*) OR oo=(Tennessee State*) OR ad=(Tennessee State*)) OR ((og=(univ* Maryland*) OR oo=(univ* Maryland*) OR ad=(univ* Maryland*)) AND ad=(College Park))))</v>
      </c>
      <c r="P44">
        <v>52</v>
      </c>
      <c r="Q44">
        <v>31078</v>
      </c>
    </row>
    <row r="45" spans="1:17">
      <c r="A45">
        <v>32444</v>
      </c>
      <c r="B45" t="s">
        <v>233</v>
      </c>
      <c r="C45" t="s">
        <v>233</v>
      </c>
      <c r="D45" s="10" t="s">
        <v>11</v>
      </c>
      <c r="E45" s="10" t="s">
        <v>97</v>
      </c>
      <c r="H45" s="12" t="str">
        <f t="shared" si="8"/>
        <v>Richardson</v>
      </c>
      <c r="I45" s="12" t="str">
        <f t="shared" si="6"/>
        <v>D</v>
      </c>
      <c r="L45" t="str">
        <f t="shared" si="9"/>
        <v>AU=(Richardson D)</v>
      </c>
      <c r="M45" t="s">
        <v>1084</v>
      </c>
      <c r="N45" t="s">
        <v>1164</v>
      </c>
      <c r="O45" t="str">
        <f t="shared" si="7"/>
        <v>(AU=(Richardson D) AND ((og=(Cary Institute of Ecosystem Studies*) OR oo=(Cary Institute of Ecosystem Studies*) OR ad=(Cary Institute of Ecosystem Studies*)) OR (og=(Cornell*) OR oo=(Cornell*) OR ad=(Cornell*)) OR (og=(Dartmouth*) OR oo=(Dartmouth*) OR ad=(Dartmouth*)) OR ((og=(State University of New York*) OR oo=(State University of New York*) OR ad=(State University of New York*)) AND ad=(New Paltz)) OR ((og=(SUNY*) OR oo=(SUNY*) OR ad=(SUNY*)) AND ad=(New Paltz)) OR (og=(Stroud Water Research Center*) OR oo=(Stroud Water Research Center*) OR ad=(Stroud Water Research Center*)) OR (og=(univ* Maryland*) OR oo=(univ* Maryland*) OR ad=(univ* Maryland*)))) AND (PY=(2002 OR 2003 OR 2004 OR 2005 OR 2006 OR 2007 OR 2008 OR 2009 OR 2010 OR 2011 OR 2012 OR 2013))</v>
      </c>
      <c r="P45">
        <v>58</v>
      </c>
      <c r="Q45">
        <v>32444</v>
      </c>
    </row>
    <row r="46" spans="1:17">
      <c r="A46">
        <v>52733</v>
      </c>
      <c r="B46" t="s">
        <v>52</v>
      </c>
      <c r="C46" t="s">
        <v>52</v>
      </c>
      <c r="D46" s="10" t="s">
        <v>53</v>
      </c>
      <c r="E46" s="10" t="s">
        <v>51</v>
      </c>
      <c r="H46" s="12" t="str">
        <f t="shared" si="8"/>
        <v>Kim</v>
      </c>
      <c r="I46" s="12" t="str">
        <f t="shared" si="6"/>
        <v>U</v>
      </c>
      <c r="L46" t="str">
        <f t="shared" si="9"/>
        <v>AU=(Kim U)</v>
      </c>
      <c r="M46" t="s">
        <v>1080</v>
      </c>
      <c r="N46" t="s">
        <v>1153</v>
      </c>
      <c r="O46" t="str">
        <f t="shared" si="7"/>
        <v>(AU=(Kim U) AND (((og=(California State Univ*) OR oo=(California State Univ*) OR ad=(California State Univ*)) AND ad=(Fullerton)) OR (og=(Georgia Institute of Technology*) OR oo=(Georgia Institute of Technology*) OR ad=(Georgia Institute of Technology*)) OR (og=(Michigan State *) OR oo=(Michigan State *) OR ad=(Michigan State *)) OR (og=(Yonsei*) OR oo=(Yonsei*) OR ad=(Yonsei*)))) AND (PY=(1997 OR 1998 OR 1999 OR 2000 OR 2001 OR 2002 OR 2003 OR 2004 OR 2005 OR 2006 OR 2007 OR 2008 OR 2009 OR 2010 OR 2011 OR 2012 OR 2013))</v>
      </c>
      <c r="P46">
        <v>58</v>
      </c>
      <c r="Q46">
        <v>52733</v>
      </c>
    </row>
    <row r="47" spans="1:17">
      <c r="A47">
        <v>36793</v>
      </c>
      <c r="B47" t="s">
        <v>124</v>
      </c>
      <c r="C47" t="s">
        <v>124</v>
      </c>
      <c r="D47" s="10" t="s">
        <v>125</v>
      </c>
      <c r="E47" s="10" t="s">
        <v>126</v>
      </c>
      <c r="H47" s="12" t="str">
        <f t="shared" si="8"/>
        <v>Parkanyi</v>
      </c>
      <c r="I47" s="12" t="str">
        <f t="shared" si="6"/>
        <v>C</v>
      </c>
      <c r="L47" t="str">
        <f t="shared" si="9"/>
        <v>AU=(Parkanyi C)</v>
      </c>
      <c r="M47" t="s">
        <v>1081</v>
      </c>
      <c r="N47" t="s">
        <v>1150</v>
      </c>
      <c r="O47" t="str">
        <f t="shared" si="7"/>
        <v>(AU=(Parkanyi C) AND ((og=(Czechoslovak Academy of Sciences*) OR oo=(Czechoslovak Academy of Sciences*) OR ad=(Czechoslovak Academy of Sciences*)) OR (og=(Florida Atlantic*) OR oo=(Florida Atlantic*) OR ad=(Florida Atlantic*)))) AND (PY=(1956 OR 1957 OR 1958 OR 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47">
        <v>61</v>
      </c>
      <c r="Q47">
        <v>36793</v>
      </c>
    </row>
    <row r="48" spans="1:17">
      <c r="A48">
        <v>44470</v>
      </c>
      <c r="B48" t="s">
        <v>206</v>
      </c>
      <c r="C48" t="s">
        <v>741</v>
      </c>
      <c r="D48" s="10" t="s">
        <v>24</v>
      </c>
      <c r="E48" s="10" t="s">
        <v>93</v>
      </c>
      <c r="F48" s="10" t="s">
        <v>207</v>
      </c>
      <c r="H48" s="12" t="str">
        <f>TRIM(F48)</f>
        <v>Wallace</v>
      </c>
      <c r="I48" s="12" t="str">
        <f t="shared" si="6"/>
        <v>W</v>
      </c>
      <c r="J48" s="12" t="str">
        <f>MID(TRIM(E48),1,1)</f>
        <v>A</v>
      </c>
      <c r="L48" t="str">
        <f>"AU=("&amp;H48&amp;" "&amp;I48&amp;" OR "&amp;H48&amp;" "&amp;J48&amp;")"</f>
        <v>AU=(Wallace W OR Wallace A)</v>
      </c>
      <c r="M48" t="s">
        <v>1076</v>
      </c>
      <c r="N48" t="s">
        <v>1179</v>
      </c>
      <c r="O48" t="str">
        <f t="shared" si="7"/>
        <v>(AU=(Wallace W OR Wallace A) AND ((og=(Rensselaer Polytechnic Institute*) OR oo=(Rensselaer Polytechnic Institute*) OR ad=(Rensselaer Polytechnic Institute*)))) AND (PY=(1955 OR 1956 OR 1957 OR 1958 OR 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48">
        <v>65</v>
      </c>
      <c r="Q48">
        <v>44470</v>
      </c>
    </row>
    <row r="49" spans="1:18">
      <c r="A49">
        <v>30651</v>
      </c>
      <c r="B49" t="s">
        <v>159</v>
      </c>
      <c r="C49" t="s">
        <v>159</v>
      </c>
      <c r="D49" s="10" t="s">
        <v>160</v>
      </c>
      <c r="E49" s="10" t="s">
        <v>161</v>
      </c>
      <c r="H49" s="12" t="str">
        <f t="shared" ref="H49:H56" si="10">TRIM(E49)</f>
        <v>Leszczynska</v>
      </c>
      <c r="I49" s="12" t="str">
        <f t="shared" si="6"/>
        <v>D</v>
      </c>
      <c r="L49" t="str">
        <f>"AU=("&amp;H49&amp;" "&amp;I49&amp;")"</f>
        <v>AU=(Leszczynska D)</v>
      </c>
      <c r="M49" t="s">
        <v>1077</v>
      </c>
      <c r="O49" t="str">
        <f t="shared" si="7"/>
        <v>(AU=(Leszczynska D) AND ((og=(Florida A&amp;M*) OR oo=(Florida A&amp;M*) OR ad=(Florida A&amp;M*)) OR (og=(Florida State*) OR oo=(Florida State*) OR ad=(Florida State*)) OR (og=(Jackson State*) OR oo=(Jackson State*) OR ad=(Jackson State*)) OR (og=(Technical University in Poland*) OR oo=(Technical University in Poland*) OR ad=(Technical University in Poland*)) OR (og=(univ* Florida*) OR oo=(univ* Florida*) OR ad=(univ* Florida*))))</v>
      </c>
      <c r="P49">
        <v>66</v>
      </c>
      <c r="Q49">
        <v>30651</v>
      </c>
    </row>
    <row r="50" spans="1:18">
      <c r="A50">
        <v>34938</v>
      </c>
      <c r="B50" t="s">
        <v>279</v>
      </c>
      <c r="C50" t="s">
        <v>279</v>
      </c>
      <c r="D50" s="10" t="s">
        <v>280</v>
      </c>
      <c r="E50" s="10" t="s">
        <v>50</v>
      </c>
      <c r="H50" s="12" t="str">
        <f t="shared" si="10"/>
        <v>Li</v>
      </c>
      <c r="I50" s="12" t="str">
        <f t="shared" si="6"/>
        <v>Y</v>
      </c>
      <c r="L50" t="str">
        <f>"AU=("&amp;H50&amp;" "&amp;I50&amp;")"</f>
        <v>AU=(Li Y)</v>
      </c>
      <c r="M50" t="s">
        <v>1095</v>
      </c>
      <c r="N50" t="s">
        <v>1171</v>
      </c>
      <c r="O50" t="str">
        <f t="shared" si="7"/>
        <v>(AU=(Li Y) AND (((og=(univ* Houston*) OR oo=(univ* Houston*) OR ad=(univ* Houston*)) AND ad=(Clear Lake)) OR (og=(univ* Memphis*) OR oo=(univ* Memphis*) OR ad=(univ* Memphis*)))) AND (PY=(1994 OR 1995 OR 1996 OR 1997 OR 1998 OR 1999 OR 2000 OR 2001 OR 2002 OR 2003 OR 2004 OR 2005 OR 2006 OR 2007 OR 2008 OR 2009 OR 2010 OR 2011 OR 2012 OR 2013))</v>
      </c>
      <c r="P50">
        <v>73</v>
      </c>
      <c r="Q50">
        <v>34938</v>
      </c>
    </row>
    <row r="51" spans="1:18">
      <c r="A51">
        <v>48708</v>
      </c>
      <c r="B51" t="s">
        <v>353</v>
      </c>
      <c r="C51" t="s">
        <v>353</v>
      </c>
      <c r="D51" s="10" t="s">
        <v>783</v>
      </c>
      <c r="E51" s="10" t="s">
        <v>784</v>
      </c>
      <c r="H51" s="12" t="str">
        <f t="shared" si="10"/>
        <v>Zacks</v>
      </c>
      <c r="I51" s="12" t="str">
        <f t="shared" si="6"/>
        <v>S</v>
      </c>
      <c r="L51" t="str">
        <f>"AU=("&amp;H51&amp;" "&amp;I51&amp;")"</f>
        <v>AU=(Zacks S)</v>
      </c>
      <c r="M51" t="s">
        <v>1083</v>
      </c>
      <c r="N51" t="s">
        <v>1150</v>
      </c>
      <c r="O51" t="str">
        <f t="shared" si="7"/>
        <v>(AU=(Zacks S) AND ((og=(State University of New York, Binghamton*) OR oo=(State University of New York, Binghamton*) OR ad=(State University of New York, Binghamton*)) OR (og=(State University of New York, Binghamton*) OR oo=(State University of New York, Binghamton*) OR ad=(State University of New York, Binghamton*)) OR (og=(Cornell*) OR oo=(Cornell*) OR ad=(Cornell*)) OR (og=(George Washington*) OR oo=(George Washington*) OR ad=(George Washington*)) OR (og=(Hebrew*) OR oo=(Hebrew*) OR ad=(Hebrew*)) OR (og=(Kansas State*) OR oo=(Kansas State*) OR ad=(Kansas State*)) OR (og=(New York*) OR oo=(New York*) OR ad=(New York*)) OR (og=(Stanford*) OR oo=(Stanford*) OR ad=(Stanford*)) OR ((og=(State University of New York*) OR oo=(State University of New York*) OR ad=(State University of New York*)) AND ad=(Binghamton)) OR ((og=(SUNY*) OR oo=(SUNY*) OR ad=(SUNY*)) AND ad=(Binghamton)) OR (og=(State University of New York, Binghamton*) OR oo=(State University of New York, Binghamton*) OR ad=(State University of New York, Binghamton*)) OR (og=(State University of New York, Binghamton*) OR oo=(State University of New York, Binghamton*) OR ad=(State University of New York, Binghamton*)) OR (og=(univ* New Mexico*) OR oo=(univ* New Mexico*) OR ad=(univ* New Mexico*)) OR (og=(Virginia Polytechnic Institute*) OR oo=(Virginia Polytechnic Institute*) OR ad=(Virginia Polytechnic Institute*)))) AND (PY=(1956 OR 1957 OR 1958 OR 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51">
        <v>81</v>
      </c>
      <c r="Q51">
        <v>48708</v>
      </c>
    </row>
    <row r="52" spans="1:18">
      <c r="A52">
        <v>38368</v>
      </c>
      <c r="B52" t="s">
        <v>348</v>
      </c>
      <c r="C52" t="s">
        <v>348</v>
      </c>
      <c r="D52" s="10" t="s">
        <v>776</v>
      </c>
      <c r="E52" s="10" t="s">
        <v>43</v>
      </c>
      <c r="H52" s="12" t="str">
        <f t="shared" si="10"/>
        <v>Cheng</v>
      </c>
      <c r="I52" s="12" t="str">
        <f t="shared" si="6"/>
        <v>C</v>
      </c>
      <c r="J52" s="12" t="s">
        <v>790</v>
      </c>
      <c r="L52" t="str">
        <f>"AU=("&amp;H52&amp;" "&amp;I52&amp;" OR "&amp;H52&amp;" "&amp;J52&amp;")"</f>
        <v>AU=(Cheng C OR Cheng I)</v>
      </c>
      <c r="M52" t="s">
        <v>1085</v>
      </c>
      <c r="N52" t="s">
        <v>1178</v>
      </c>
      <c r="O52" t="str">
        <f t="shared" si="7"/>
        <v>(AU=(Cheng C OR Cheng I) AND ((og=(Central Michigan*) OR oo=(Central Michigan*) OR ad=(Central Michigan*)) OR (og=(Chung Yuan Christian*) OR oo=(Chung Yuan Christian*) OR ad=(Chung Yuan Christian*)) OR (og=(univ* Arkansas*) OR oo=(univ* Arkansas*) OR ad=(univ* Arkansas*)) OR ((og=(univ* Missouri*) OR oo=(univ* Missouri*) OR ad=(univ* Missouri*)) AND ad=(Columbia)))) AND (PY=(2003 OR 2004 OR 2005 OR 2006 OR 2007 OR 2008 OR 2009 OR 2010 OR 2011 OR 2012 OR 2013))</v>
      </c>
      <c r="P52" s="13">
        <v>84</v>
      </c>
      <c r="Q52" s="13">
        <v>38368</v>
      </c>
      <c r="R52" s="13"/>
    </row>
    <row r="53" spans="1:18">
      <c r="A53">
        <v>32937</v>
      </c>
      <c r="B53" t="s">
        <v>354</v>
      </c>
      <c r="C53" t="s">
        <v>354</v>
      </c>
      <c r="D53" s="10" t="s">
        <v>769</v>
      </c>
      <c r="E53" s="10" t="s">
        <v>770</v>
      </c>
      <c r="H53" s="12" t="str">
        <f t="shared" si="10"/>
        <v>Schlick</v>
      </c>
      <c r="I53" s="12" t="str">
        <f t="shared" si="6"/>
        <v>S</v>
      </c>
      <c r="L53" t="str">
        <f>"AU=("&amp;H53&amp;" "&amp;I53&amp;")"</f>
        <v>AU=(Schlick S)</v>
      </c>
      <c r="M53" t="s">
        <v>1087</v>
      </c>
      <c r="N53" t="s">
        <v>1166</v>
      </c>
      <c r="O53" t="str">
        <f t="shared" si="7"/>
        <v>(AU=(Schlick S) AND ((og=(Centre d’Études Nucléaires de Grenoble*) OR oo=(Centre d’Études Nucléaires de Grenoble*) OR ad=(Centre d’Études Nucléaires de Grenoble*)) OR (og=(Israel Institute of Technology*) OR oo=(Israel Institute of Technology*) OR ad=(Israel Institute of Technology*)) OR (og=(Tokyo Institute of Technology*) OR oo=(Tokyo Institute of Technology*) OR ad=(Tokyo Institute of Technology*)) OR (og=(univ* Bologna*) OR oo=(univ* Bologna*) OR ad=(univ* Bologna*)) OR ((og=(univ* Detroit*) OR oo=(univ* Detroit*) OR ad=(univ* Detroit*)) AND ad=(Mercy)) OR (og=(univ* Florence*) OR oo=(univ* Florence*) OR ad=(univ* Florence*)) OR (og=(Weizmann Institute of Science*) OR oo=(Weizmann Institute of Science*) OR ad=(Weizmann Institute of Science*)))) AND (PY=(1957 OR 1958 OR 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53">
        <v>88</v>
      </c>
      <c r="Q53">
        <v>32937</v>
      </c>
    </row>
    <row r="54" spans="1:18">
      <c r="A54">
        <v>50146</v>
      </c>
      <c r="B54" t="s">
        <v>317</v>
      </c>
      <c r="C54" t="s">
        <v>317</v>
      </c>
      <c r="D54" s="10" t="s">
        <v>70</v>
      </c>
      <c r="E54" s="10" t="s">
        <v>20</v>
      </c>
      <c r="H54" s="12" t="str">
        <f t="shared" si="10"/>
        <v>Lin</v>
      </c>
      <c r="I54" s="12" t="str">
        <f t="shared" si="6"/>
        <v>J</v>
      </c>
      <c r="L54" t="str">
        <f>"AU=("&amp;H54&amp;" "&amp;I54&amp;")"</f>
        <v>AU=(Lin J)</v>
      </c>
      <c r="M54" t="s">
        <v>1093</v>
      </c>
      <c r="N54" t="s">
        <v>1178</v>
      </c>
      <c r="O54" t="str">
        <f t="shared" si="7"/>
        <v>(AU=(Lin J) AND ((og=(Food and Drug Administration*) OR oo=(Food and Drug Administration*) OR ad=(Food and Drug Administration*)) OR (og=(Los Alamos National Laboratory*) OR oo=(Los Alamos National Laboratory*) OR ad=(Los Alamos National Laboratory*)) OR (og=(National Institute of Mental Health*) OR oo=(National Institute of Mental Health*) OR ad=(National Institute of Mental Health*)) OR (og=(U.S. Federal Reserve*) OR oo=(U.S. Federal Reserve*) OR ad=(U.S. Federal Reserve*)) OR ((og=(univ* North Carolina*) OR oo=(univ* North Carolina*) OR ad=(univ* North Carolina*)) AND ad=(Chapel Hill)) OR (og=(univ* Utah*) OR oo=(univ* Utah*) OR ad=(univ* Utah*)) OR (og=(univ* Virginia*) OR oo=(univ* Virginia*) OR ad=(univ* Virginia*)))) AND (PY=(2003 OR 2004 OR 2005 OR 2006 OR 2007 OR 2008 OR 2009 OR 2010 OR 2011 OR 2012 OR 2013))</v>
      </c>
      <c r="P54">
        <v>88</v>
      </c>
      <c r="Q54">
        <v>50146</v>
      </c>
    </row>
    <row r="55" spans="1:18">
      <c r="A55">
        <v>35483</v>
      </c>
      <c r="B55" t="s">
        <v>145</v>
      </c>
      <c r="C55" t="s">
        <v>145</v>
      </c>
      <c r="D55" s="10" t="s">
        <v>146</v>
      </c>
      <c r="E55" s="10" t="s">
        <v>147</v>
      </c>
      <c r="H55" s="12" t="str">
        <f t="shared" si="10"/>
        <v>Zhang</v>
      </c>
      <c r="I55" s="12" t="str">
        <f t="shared" si="6"/>
        <v>C</v>
      </c>
      <c r="L55" t="str">
        <f>"AU=("&amp;H55&amp;" "&amp;I55&amp;")"</f>
        <v>AU=(Zhang C)</v>
      </c>
      <c r="M55" t="s">
        <v>1082</v>
      </c>
      <c r="N55" t="s">
        <v>1162</v>
      </c>
      <c r="O55" t="str">
        <f t="shared" si="7"/>
        <v>(AU=(Zhang C) AND ((og=(Illinois Institute of Technology*) OR oo=(Illinois Institute of Technology*) OR ad=(Illinois Institute of Technology*)) OR (og=(Ningbo*) OR oo=(Ningbo*) OR ad=(Ningbo*)) OR (og=(univ* Manitoba*) OR oo=(univ* Manitoba*) OR ad=(univ* Manitoba*)))) AND (PY=(1990 OR 1991 OR 1992 OR 1993 OR 1994 OR 1995 OR 1996 OR 1997 OR 1998 OR 1999 OR 2000 OR 2001 OR 2002 OR 2003 OR 2004 OR 2005 OR 2006 OR 2007 OR 2008 OR 2009 OR 2010 OR 2011 OR 2012 OR 2013))</v>
      </c>
      <c r="P55">
        <v>93</v>
      </c>
      <c r="Q55">
        <v>35483</v>
      </c>
    </row>
    <row r="56" spans="1:18">
      <c r="A56">
        <v>30953</v>
      </c>
      <c r="B56" t="s">
        <v>291</v>
      </c>
      <c r="C56" t="s">
        <v>733</v>
      </c>
      <c r="D56" s="10" t="s">
        <v>7</v>
      </c>
      <c r="E56" s="10" t="s">
        <v>16</v>
      </c>
      <c r="H56" s="12" t="str">
        <f t="shared" si="10"/>
        <v>Johnson</v>
      </c>
      <c r="I56" s="12" t="str">
        <f t="shared" si="6"/>
        <v>R</v>
      </c>
      <c r="L56" t="str">
        <f>"AU=("&amp;H56&amp;" "&amp;I56&amp;")"</f>
        <v>AU=(Johnson R)</v>
      </c>
      <c r="M56" t="s">
        <v>1102</v>
      </c>
      <c r="N56" t="s">
        <v>1159</v>
      </c>
      <c r="O56" t="str">
        <f t="shared" si="7"/>
        <v>(AU=(Johnson R) AND ((og=(Saint Louis*) OR oo=(Saint Louis*) OR ad=(Saint Louis*)) OR ((og=(univ* Maryland*) OR oo=(univ* Maryland*) OR ad=(univ* Maryland*)) AND ad=(Eastern Shore)))) AND (PY=(1991 OR 1992 OR 1993 OR 1994 OR 1995 OR 1996 OR 1997 OR 1998 OR 1999 OR 2000 OR 2001 OR 2002 OR 2003 OR 2004 OR 2005 OR 2006 OR 2007 OR 2008 OR 2009 OR 2010 OR 2011 OR 2012 OR 2013))</v>
      </c>
      <c r="P56">
        <v>102</v>
      </c>
      <c r="Q56">
        <v>30953</v>
      </c>
    </row>
    <row r="57" spans="1:18">
      <c r="A57">
        <v>36130</v>
      </c>
      <c r="B57" t="s">
        <v>324</v>
      </c>
      <c r="C57" t="s">
        <v>736</v>
      </c>
      <c r="D57" s="10" t="s">
        <v>178</v>
      </c>
      <c r="E57" s="10" t="s">
        <v>757</v>
      </c>
      <c r="F57" s="10" t="s">
        <v>325</v>
      </c>
      <c r="H57" s="12" t="str">
        <f>TRIM(F57)</f>
        <v>Esch</v>
      </c>
      <c r="I57" s="12" t="str">
        <f t="shared" si="6"/>
        <v>G</v>
      </c>
      <c r="J57" s="12" t="str">
        <f>MID(TRIM(E57),1,1)</f>
        <v>W</v>
      </c>
      <c r="L57" t="str">
        <f>"AU=("&amp;H57&amp;" "&amp;I57&amp;" OR "&amp;H57&amp;" "&amp;J57&amp;")"</f>
        <v>AU=(Esch G OR Esch W)</v>
      </c>
      <c r="M57" t="s">
        <v>1086</v>
      </c>
      <c r="N57" t="s">
        <v>1166</v>
      </c>
      <c r="O57" t="str">
        <f t="shared" si="7"/>
        <v>(AU=(Esch G OR Esch W) AND ((og=(Colorado*) OR oo=(Colorado*) OR ad=(Colorado*)) OR (og=(univ* Oklahoma*) OR oo=(univ* Oklahoma*) OR ad=(univ* Oklahoma*)) OR (og=(Wake Forest*) OR oo=(Wake Forest*) OR ad=(Wake Forest*)))) AND (PY=(1957 OR 1958 OR 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57">
        <v>103</v>
      </c>
      <c r="Q57">
        <v>36130</v>
      </c>
    </row>
    <row r="58" spans="1:18">
      <c r="A58">
        <v>50593</v>
      </c>
      <c r="B58" t="s">
        <v>370</v>
      </c>
      <c r="C58" t="s">
        <v>370</v>
      </c>
      <c r="D58" s="10" t="s">
        <v>49</v>
      </c>
      <c r="E58" s="10" t="s">
        <v>61</v>
      </c>
      <c r="H58" s="12" t="str">
        <f>TRIM(E58)</f>
        <v>Wood</v>
      </c>
      <c r="I58" s="12" t="str">
        <f t="shared" si="6"/>
        <v>M</v>
      </c>
      <c r="L58" t="str">
        <f>"AU=("&amp;H58&amp;" "&amp;I58&amp;")"</f>
        <v>AU=(Wood M)</v>
      </c>
      <c r="M58" t="s">
        <v>1089</v>
      </c>
      <c r="N58" t="s">
        <v>1178</v>
      </c>
      <c r="O58" t="str">
        <f t="shared" si="7"/>
        <v>(AU=(Wood M) AND ((og=(American Institute of Mathematics*) OR oo=(American Institute of Mathematics*) OR ad=(American Institute of Mathematics*)) OR (og=(Duke*) OR oo=(Duke*) OR ad=(Duke*)) OR (og=(Princeton*) OR oo=(Princeton*) OR ad=(Princeton*)) OR (og=(Stanford*) OR oo=(Stanford*) OR ad=(Stanford*)) OR (og=(univ* Cambridge*) OR oo=(univ* Cambridge*) OR ad=(univ* Cambridge*)))) AND (PY=(2003 OR 2004 OR 2005 OR 2006 OR 2007 OR 2008 OR 2009 OR 2010 OR 2011 OR 2012 OR 2013))</v>
      </c>
      <c r="P58">
        <v>106</v>
      </c>
      <c r="Q58">
        <v>50593</v>
      </c>
    </row>
    <row r="59" spans="1:18">
      <c r="A59">
        <v>45090</v>
      </c>
      <c r="B59" t="s">
        <v>307</v>
      </c>
      <c r="C59" t="s">
        <v>738</v>
      </c>
      <c r="D59" s="10" t="s">
        <v>14</v>
      </c>
      <c r="E59" s="10" t="s">
        <v>752</v>
      </c>
      <c r="F59" s="10" t="s">
        <v>61</v>
      </c>
      <c r="H59" s="12" t="str">
        <f>TRIM(F59)</f>
        <v>Wood</v>
      </c>
      <c r="I59" s="12" t="str">
        <f t="shared" si="6"/>
        <v>S</v>
      </c>
      <c r="J59" s="12" t="str">
        <f>MID(TRIM(E59),1,1)</f>
        <v>L</v>
      </c>
      <c r="L59" t="str">
        <f>"AU=("&amp;H59&amp;" "&amp;I59&amp;" OR "&amp;H59&amp;" "&amp;J59&amp;")"</f>
        <v>AU=(Wood S OR Wood L)</v>
      </c>
      <c r="M59" t="s">
        <v>1094</v>
      </c>
      <c r="N59" t="s">
        <v>1158</v>
      </c>
      <c r="O59" t="str">
        <f t="shared" si="7"/>
        <v>(AU=(Wood S OR Wood L) AND (((og=(univ* Illinois*) OR oo=(univ* Illinois*) OR ad=(univ* Illinois*)) AND ad=(Urbana-Champaign)) OR ((og=(univ* Texas*) OR oo=(univ* Texas*) OR ad=(univ* Texas*)) AND ad=(Austin)) OR (og=(univ* Virginia*) OR oo=(univ* Virginia*) OR ad=(univ* Virginia*)))) AND (PY=(1980 OR 1981 OR 1982 OR 1983 OR 1984 OR 1985 OR 1986 OR 1987 OR 1988 OR 1989 OR 1990 OR 1991 OR 1992 OR 1993 OR 1994 OR 1995 OR 1996 OR 1997 OR 1998 OR 1999 OR 2000 OR 2001 OR 2002 OR 2003 OR 2004 OR 2005 OR 2006 OR 2007 OR 2008 OR 2009 OR 2010 OR 2011 OR 2012 OR 2013))</v>
      </c>
      <c r="P59">
        <v>109</v>
      </c>
      <c r="Q59">
        <v>45090</v>
      </c>
    </row>
    <row r="60" spans="1:18">
      <c r="A60">
        <v>33422</v>
      </c>
      <c r="B60" t="s">
        <v>101</v>
      </c>
      <c r="C60" t="s">
        <v>728</v>
      </c>
      <c r="D60" s="10" t="s">
        <v>56</v>
      </c>
      <c r="E60" s="10" t="s">
        <v>179</v>
      </c>
      <c r="F60" s="10" t="s">
        <v>102</v>
      </c>
      <c r="H60" s="12" t="str">
        <f>TRIM(F60)</f>
        <v>Jiang</v>
      </c>
      <c r="I60" s="12" t="str">
        <f t="shared" si="6"/>
        <v>X</v>
      </c>
      <c r="L60" t="str">
        <f>"AU=("&amp;H60&amp;" "&amp;I60&amp;")"</f>
        <v>AU=(Jiang X)</v>
      </c>
      <c r="M60" t="s">
        <v>1100</v>
      </c>
      <c r="N60" t="s">
        <v>1169</v>
      </c>
      <c r="O60" t="str">
        <f t="shared" si="7"/>
        <v>(AU=(Jiang X) AND (((og=(City University of New York*) OR oo=(City University of New York*) OR ad=(City University of New York*)) AND ad=(Staten Island)) OR ((og=(CUNY*) OR oo=(CUNY*) OR ad=(CUNY*)) AND ad=(Staten Island)) OR (og=(Tshing Hua*) OR oo=(Tshing Hua*) OR ad=(Tshing Hua*)) OR (og=(Tsinghua*) OR oo=(Tsinghua*) OR ad=(Tsinghua*)))) AND (PY=(1989 OR 1990 OR 1991 OR 1992 OR 1993 OR 1994 OR 1995 OR 1996 OR 1997 OR 1998 OR 1999 OR 2000 OR 2001 OR 2002 OR 2003 OR 2004 OR 2005 OR 2006 OR 2007 OR 2008 OR 2009 OR 2010 OR 2011 OR 2012 OR 2013))</v>
      </c>
      <c r="P60">
        <v>130</v>
      </c>
      <c r="Q60">
        <v>33422</v>
      </c>
    </row>
    <row r="61" spans="1:18">
      <c r="A61">
        <v>35307</v>
      </c>
      <c r="B61" t="s">
        <v>216</v>
      </c>
      <c r="C61" t="s">
        <v>216</v>
      </c>
      <c r="D61" s="10" t="s">
        <v>764</v>
      </c>
      <c r="E61" s="10" t="s">
        <v>765</v>
      </c>
      <c r="H61" s="12" t="str">
        <f>TRIM(E61)</f>
        <v>ANDERSON</v>
      </c>
      <c r="I61" s="12" t="str">
        <f t="shared" si="6"/>
        <v>T</v>
      </c>
      <c r="L61" t="str">
        <f>"AU=("&amp;H61&amp;" "&amp;I61&amp;")"</f>
        <v>AU=(ANDERSON T)</v>
      </c>
      <c r="M61" t="s">
        <v>1098</v>
      </c>
      <c r="N61" t="s">
        <v>1151</v>
      </c>
      <c r="O61" t="str">
        <f t="shared" si="7"/>
        <v>(AU=(ANDERSON T) AND (((og=(California State Univ*) OR oo=(California State Univ*) OR ad=(California State Univ*)) AND ad=(Fresno)) OR ((og=(California State Univ*) OR oo=(California State Univ*) OR ad=(California State Univ*)) AND ad=(Northridge)) OR (og=(Oregon State*) OR oo=(Oregon State*) OR ad=(Oregon State*)) OR (og=(San Diego State*) OR oo=(San Diego State*) OR ad=(San Diego State*)) OR ((og=(univ* California*) OR oo=(univ* California*) OR ad=(univ* California*)) AND ad=(Santa Barbara)) OR (og=(univ* Washington*) OR oo=(univ* Washington*) OR ad=(univ* Washington*)) OR (og=(Western Washington*) OR oo=(Western Washington*) OR ad=(Western Washington*)))) AND (PY=(1987 OR 1988 OR 1989 OR 1990 OR 1991 OR 1992 OR 1993 OR 1994 OR 1995 OR 1996 OR 1997 OR 1998 OR 1999 OR 2000 OR 2001 OR 2002 OR 2003 OR 2004 OR 2005 OR 2006 OR 2007 OR 2008 OR 2009 OR 2010 OR 2011 OR 2012 OR 2013))</v>
      </c>
      <c r="P61">
        <v>130</v>
      </c>
      <c r="Q61">
        <v>35307</v>
      </c>
    </row>
    <row r="62" spans="1:18">
      <c r="A62">
        <v>30951</v>
      </c>
      <c r="B62" t="s">
        <v>290</v>
      </c>
      <c r="C62" t="s">
        <v>732</v>
      </c>
      <c r="D62" s="10" t="s">
        <v>46</v>
      </c>
      <c r="E62" s="10" t="s">
        <v>753</v>
      </c>
      <c r="F62" s="10" t="s">
        <v>137</v>
      </c>
      <c r="H62" s="12" t="str">
        <f>TRIM(F62)</f>
        <v>Williams</v>
      </c>
      <c r="I62" s="12" t="str">
        <f t="shared" si="6"/>
        <v>M</v>
      </c>
      <c r="J62" s="12" t="str">
        <f>MID(TRIM(E62),1,1)</f>
        <v>E</v>
      </c>
      <c r="L62" t="str">
        <f>"AU=("&amp;H62&amp;" "&amp;I62&amp;" OR "&amp;H62&amp;" "&amp;J62&amp;")"</f>
        <v>AU=(Williams M OR Williams E)</v>
      </c>
      <c r="M62" t="s">
        <v>1108</v>
      </c>
      <c r="N62" t="s">
        <v>1158</v>
      </c>
      <c r="O62" t="str">
        <f t="shared" si="7"/>
        <v>(AU=(Williams M OR Williams E) AND ((og=(univ* Cincinnati*) OR oo=(univ* Cincinnati*) OR ad=(univ* Cincinnati*)) OR ((og=(univ* Maryland*) OR oo=(univ* Maryland*) OR ad=(univ* Maryland*)) AND ad=(Eastern Shore)))) AND (PY=(1980 OR 1981 OR 1982 OR 1983 OR 1984 OR 1985 OR 1986 OR 1987 OR 1988 OR 1989 OR 1990 OR 1991 OR 1992 OR 1993 OR 1994 OR 1995 OR 1996 OR 1997 OR 1998 OR 1999 OR 2000 OR 2001 OR 2002 OR 2003 OR 2004 OR 2005 OR 2006 OR 2007 OR 2008 OR 2009 OR 2010 OR 2011 OR 2012 OR 2013))</v>
      </c>
      <c r="P62">
        <v>153</v>
      </c>
      <c r="Q62">
        <v>30951</v>
      </c>
    </row>
    <row r="63" spans="1:18">
      <c r="A63">
        <v>39389</v>
      </c>
      <c r="B63" t="s">
        <v>134</v>
      </c>
      <c r="C63" t="s">
        <v>134</v>
      </c>
      <c r="D63" s="10" t="s">
        <v>135</v>
      </c>
      <c r="E63" s="10" t="s">
        <v>16</v>
      </c>
      <c r="H63" s="12" t="str">
        <f>TRIM(E63)</f>
        <v>Johnson</v>
      </c>
      <c r="I63" s="12" t="str">
        <f t="shared" si="6"/>
        <v>C</v>
      </c>
      <c r="L63" t="str">
        <f>"AU=("&amp;H63&amp;" "&amp;I63&amp;")"</f>
        <v>AU=(Johnson C)</v>
      </c>
      <c r="M63" t="s">
        <v>1091</v>
      </c>
      <c r="N63" t="s">
        <v>1162</v>
      </c>
      <c r="O63" t="str">
        <f t="shared" si="7"/>
        <v>(AU=(Johnson C) AND ((og=(Georgia State*) OR oo=(Georgia State*) OR ad=(Georgia State*)) OR (og=(Johns Hopkins*) OR oo=(Johns Hopkins*) OR ad=(Johns Hopkins*)))) AND (PY=(1990 OR 1991 OR 1992 OR 1993 OR 1994 OR 1995 OR 1996 OR 1997 OR 1998 OR 1999 OR 2000 OR 2001 OR 2002 OR 2003 OR 2004 OR 2005 OR 2006 OR 2007 OR 2008 OR 2009 OR 2010 OR 2011 OR 2012 OR 2013))</v>
      </c>
      <c r="P63">
        <v>163</v>
      </c>
      <c r="Q63">
        <v>39389</v>
      </c>
    </row>
    <row r="64" spans="1:18">
      <c r="A64">
        <v>30037</v>
      </c>
      <c r="B64" t="s">
        <v>105</v>
      </c>
      <c r="C64" t="s">
        <v>722</v>
      </c>
      <c r="D64" s="10" t="s">
        <v>106</v>
      </c>
      <c r="E64" s="10" t="s">
        <v>748</v>
      </c>
      <c r="F64" s="10" t="s">
        <v>42</v>
      </c>
      <c r="H64" s="12" t="str">
        <f>TRIM(F64)</f>
        <v>Davis</v>
      </c>
      <c r="I64" s="12" t="str">
        <f t="shared" si="6"/>
        <v>L</v>
      </c>
      <c r="J64" s="12" t="str">
        <f>MID(TRIM(E64),1,1)</f>
        <v>G</v>
      </c>
      <c r="L64" t="str">
        <f>"AU=("&amp;H64&amp;" "&amp;I64&amp;" OR "&amp;H64&amp;" "&amp;J64&amp;")"</f>
        <v>AU=(Davis L OR Davis G)</v>
      </c>
      <c r="M64" t="s">
        <v>1090</v>
      </c>
      <c r="N64" t="s">
        <v>1148</v>
      </c>
      <c r="O64" t="str">
        <f t="shared" si="7"/>
        <v>(AU=(Davis L OR Davis G) AND ((og=(Delaware State*) OR oo=(Delaware State*) OR ad=(Delaware State*)) OR (og=(univ* Illinois*) OR oo=(univ* Illinois*) OR ad=(univ* Illinois*)))) AND (PY=(1971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64">
        <v>190</v>
      </c>
      <c r="Q64">
        <v>30037</v>
      </c>
    </row>
    <row r="65" spans="1:18">
      <c r="A65">
        <v>30794</v>
      </c>
      <c r="B65" t="s">
        <v>365</v>
      </c>
      <c r="C65" t="s">
        <v>742</v>
      </c>
      <c r="D65" s="10" t="s">
        <v>74</v>
      </c>
      <c r="E65" s="10" t="s">
        <v>6</v>
      </c>
      <c r="H65" s="12" t="str">
        <f>TRIM(E65)</f>
        <v>Jones</v>
      </c>
      <c r="I65" s="12" t="str">
        <f t="shared" si="6"/>
        <v>A</v>
      </c>
      <c r="L65" t="str">
        <f>"AU=("&amp;H65&amp;" "&amp;I65&amp;")"</f>
        <v>AU=(Jones A)</v>
      </c>
      <c r="M65" t="s">
        <v>1096</v>
      </c>
      <c r="N65" t="s">
        <v>1152</v>
      </c>
      <c r="O65" t="str">
        <f t="shared" si="7"/>
        <v>(AU=(Jones A) AND ((og=(Brown*) OR oo=(Brown*) OR ad=(Brown*)) OR (og=(Cleveland State*) OR oo=(Cleveland State*) OR ad=(Cleveland State*)) OR (og=(Duke*) OR oo=(Duke*) OR ad=(Duke*)) OR (og=(Florida A&amp;M*) OR oo=(Florida A&amp;M*) OR ad=(Florida A&amp;M*)) OR (og=(Florida State*) OR oo=(Florida State*) OR ad=(Florida State*)) OR (og=(Morehouse*) OR oo=(Morehouse*) OR ad=(Morehouse*)) OR (og=(Oak Ridge National Laboratories*) OR oo=(Oak Ridge National Laboratories*) OR ad=(Oak Ridge National Laboratories*)) OR ((og=(univ* North Carolina*) OR oo=(univ* North Carolina*) OR ad=(univ* North Carolina*)) AND ad=(Chapel Hill)))) AND (PY=(1993 OR 1994 OR 1995 OR 1996 OR 1997 OR 1998 OR 1999 OR 2000 OR 2001 OR 2002 OR 2003 OR 2004 OR 2005 OR 2006 OR 2007 OR 2008 OR 2009 OR 2010 OR 2011 OR 2012 OR 2013))</v>
      </c>
      <c r="P65">
        <v>195</v>
      </c>
      <c r="Q65">
        <v>30794</v>
      </c>
    </row>
    <row r="66" spans="1:18">
      <c r="A66">
        <v>38580</v>
      </c>
      <c r="B66" t="s">
        <v>296</v>
      </c>
      <c r="C66" t="s">
        <v>296</v>
      </c>
      <c r="D66" s="10" t="s">
        <v>297</v>
      </c>
      <c r="E66" s="10" t="s">
        <v>260</v>
      </c>
      <c r="H66" s="12" t="str">
        <f>TRIM(E66)</f>
        <v>Sun</v>
      </c>
      <c r="I66" s="12" t="str">
        <f t="shared" ref="I66:I101" si="11">MID(TRIM(D66),1,1)</f>
        <v>P</v>
      </c>
      <c r="L66" t="str">
        <f>"AU=("&amp;H66&amp;" "&amp;I66&amp;")"</f>
        <v>AU=(Sun P)</v>
      </c>
      <c r="M66" t="s">
        <v>1184</v>
      </c>
      <c r="N66" t="s">
        <v>1159</v>
      </c>
      <c r="O66" t="str">
        <f t="shared" ref="O66:O97" si="12">"("&amp;L66&amp;" AND ("&amp;M66&amp;"))"&amp;N66</f>
        <v>(AU=(Sun P) AND ((og=(Chinese Academy of Sciences*) OR oo=(Chinese Academy of Sciences*) OR ad=(Chinese Academy of Sciences*)) OR (og=(Hong Kong Polytechnic*) OR oo=(Hong Kong Polytechnic*) OR ad=(Hong Kong Polytechnic*)) OR ((og=(Institute of Mathematics*) OR oo=(Institute of Mathematics*) OR ad=(Institute of Mathematics*)) AND ad=(Academy Sinica)) OR (og=(Pennsylvania State*) OR oo=(Pennsylvania State*) OR ad=(Pennsylvania State*)) OR (og=(Shandong*) OR oo=(Shandong*) OR ad=(Shandong*)) OR (og=(Simon Fraser*) OR oo=(Simon Fraser*) OR ad=(Simon Fraser*)) OR (og=(Tongji*) OR oo=(Tongji*) OR ad=(Tongji*)) OR ((og=(univ* Nevada*) OR oo=(univ* Nevada*) OR ad=(univ* Nevada*)) AND ad=(Las Vegas)))) AND (PY=(1991 OR 1992 OR 1993 OR 1994 OR 1995 OR 1996 OR 1997 OR 1998 OR 1999 OR 2000 OR 2001 OR 2002 OR 2003 OR 2004 OR 2005 OR 2006 OR 2007 OR 2008 OR 2009 OR 2010 OR 2011 OR 2012 OR 2013))</v>
      </c>
      <c r="P66" s="13">
        <v>196</v>
      </c>
      <c r="Q66" s="13">
        <v>38580</v>
      </c>
      <c r="R66" s="13"/>
    </row>
    <row r="67" spans="1:18">
      <c r="A67">
        <v>30758</v>
      </c>
      <c r="B67" t="s">
        <v>142</v>
      </c>
      <c r="C67" t="s">
        <v>142</v>
      </c>
      <c r="D67" s="10" t="s">
        <v>60</v>
      </c>
      <c r="E67" s="10" t="s">
        <v>137</v>
      </c>
      <c r="H67" s="12" t="str">
        <f>TRIM(E67)</f>
        <v>Williams</v>
      </c>
      <c r="I67" s="12" t="str">
        <f t="shared" si="11"/>
        <v>D</v>
      </c>
      <c r="L67" t="str">
        <f>"AU=("&amp;H67&amp;" "&amp;I67&amp;")"</f>
        <v>AU=(Williams D)</v>
      </c>
      <c r="M67" t="s">
        <v>1126</v>
      </c>
      <c r="N67" t="s">
        <v>1157</v>
      </c>
      <c r="O67" t="str">
        <f t="shared" si="12"/>
        <v>(AU=(Williams D) AND ((og=(Howard*) OR oo=(Howard*) OR ad=(Howard*)) OR ((og=(univ* California*) OR oo=(univ* California*) OR ad=(univ* California*)) AND ad=(Berkeley)))) AND (PY=(1974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67">
        <v>204</v>
      </c>
      <c r="Q67">
        <v>30758</v>
      </c>
    </row>
    <row r="68" spans="1:18">
      <c r="A68">
        <v>42013</v>
      </c>
      <c r="B68" t="s">
        <v>286</v>
      </c>
      <c r="C68" t="s">
        <v>286</v>
      </c>
      <c r="D68" s="10" t="s">
        <v>75</v>
      </c>
      <c r="E68" s="10" t="s">
        <v>287</v>
      </c>
      <c r="H68" s="12" t="str">
        <f>TRIM(E68)</f>
        <v>Fenselau</v>
      </c>
      <c r="I68" s="12" t="str">
        <f t="shared" si="11"/>
        <v>C</v>
      </c>
      <c r="L68" t="str">
        <f>"AU=("&amp;H68&amp;" "&amp;I68&amp;")"</f>
        <v>AU=(Fenselau C)</v>
      </c>
      <c r="M68" t="s">
        <v>1103</v>
      </c>
      <c r="N68" t="s">
        <v>1165</v>
      </c>
      <c r="O68" t="str">
        <f t="shared" si="12"/>
        <v>(AU=(Fenselau C) AND ((og=(Bryn Mawr*) OR oo=(Bryn Mawr*) OR ad=(Bryn Mawr*)) OR (og=(Johns Hopkins*) OR oo=(Johns Hopkins*) OR ad=(Johns Hopkins*)) OR (og=(Kansai*) OR oo=(Kansai*) OR ad=(Kansai*)) OR (og=(Moscow Institute of Physics &amp; Technology*) OR oo=(Moscow Institute of Physics &amp; Technology*) OR ad=(Moscow Institute of Physics &amp; Technology*)) OR (og=(NASA Space Sciences Laboratory*) OR oo=(NASA Space Sciences Laboratory*) OR ad=(NASA Space Sciences Laboratory*)) OR (og=(Stanford*) OR oo=(Stanford*) OR ad=(Stanford*)) OR ((og=(univ* California*) OR oo=(univ* California*) OR ad=(univ* California*)) AND ad=(Berkeley)) OR ((og=(univ* Maryland*) OR oo=(univ* Maryland*) OR ad=(univ* Maryland*)) AND ad=(College Park)) OR (og=(univ* Warwick*) OR oo=(univ* Warwick*) OR ad=(univ* Warwick*)))) AND (PY=(1959 OR 1960 OR 1961 OR 1962 OR 1963 OR 1964 OR 1965 OR 1966 OR 1967 OR 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68">
        <v>209</v>
      </c>
      <c r="Q68">
        <v>42013</v>
      </c>
    </row>
    <row r="69" spans="1:18">
      <c r="A69">
        <v>38877</v>
      </c>
      <c r="B69" t="s">
        <v>349</v>
      </c>
      <c r="C69" t="s">
        <v>746</v>
      </c>
      <c r="D69" s="10" t="s">
        <v>24</v>
      </c>
      <c r="E69" s="10" t="s">
        <v>749</v>
      </c>
      <c r="F69" s="10" t="s">
        <v>153</v>
      </c>
      <c r="H69" s="12" t="str">
        <f>TRIM(F69)</f>
        <v>Martin</v>
      </c>
      <c r="I69" s="12" t="str">
        <f t="shared" si="11"/>
        <v>W</v>
      </c>
      <c r="J69" s="12" t="str">
        <f>MID(TRIM(E69),1,1)</f>
        <v>O</v>
      </c>
      <c r="L69" t="str">
        <f>"AU=("&amp;H69&amp;" "&amp;I69&amp;" OR "&amp;H69&amp;" "&amp;J69&amp;")"</f>
        <v>AU=(Martin W OR Martin O)</v>
      </c>
      <c r="M69" t="s">
        <v>1092</v>
      </c>
      <c r="N69" t="s">
        <v>1151</v>
      </c>
      <c r="O69" t="str">
        <f t="shared" si="12"/>
        <v>(AU=(Martin W OR Martin O) AND ((og=(Iowa State*) OR oo=(Iowa State*) OR ad=(Iowa State*)) OR (og=(North Dakota State*) OR oo=(North Dakota State*) OR ad=(North Dakota State*)) OR (og=(univ* Northern Iowa*) OR oo=(univ* Northern Iowa*) OR ad=(univ* Northern Iowa*)) OR ((og=(univ* Wisconsin*) OR oo=(univ* Wisconsin*) OR ad=(univ* Wisconsin*)) AND ad=(Madison)))) AND (PY=(1987 OR 1988 OR 1989 OR 1990 OR 1991 OR 1992 OR 1993 OR 1994 OR 1995 OR 1996 OR 1997 OR 1998 OR 1999 OR 2000 OR 2001 OR 2002 OR 2003 OR 2004 OR 2005 OR 2006 OR 2007 OR 2008 OR 2009 OR 2010 OR 2011 OR 2012 OR 2013))</v>
      </c>
      <c r="P69">
        <v>219</v>
      </c>
      <c r="Q69">
        <v>38877</v>
      </c>
    </row>
    <row r="70" spans="1:18">
      <c r="A70">
        <v>55450</v>
      </c>
      <c r="B70" t="s">
        <v>360</v>
      </c>
      <c r="C70" t="s">
        <v>360</v>
      </c>
      <c r="D70" s="10" t="s">
        <v>787</v>
      </c>
      <c r="E70" s="10" t="s">
        <v>23</v>
      </c>
      <c r="H70" s="12" t="str">
        <f>TRIM(E70)</f>
        <v>Smith</v>
      </c>
      <c r="I70" s="12" t="str">
        <f t="shared" si="11"/>
        <v>C</v>
      </c>
      <c r="L70" t="str">
        <f>"AU=("&amp;H70&amp;" "&amp;I70&amp;")"</f>
        <v>AU=(Smith C)</v>
      </c>
      <c r="M70" t="s">
        <v>1121</v>
      </c>
      <c r="N70" t="s">
        <v>1170</v>
      </c>
      <c r="O70" t="str">
        <f t="shared" si="12"/>
        <v>(AU=(Smith C) AND ((og=(Caltech*) OR oo=(Caltech*) OR ad=(Caltech*)) OR (og=(Drake*) OR oo=(Drake*) OR ad=(Drake*)) OR (og=(George Washington*) OR oo=(George Washington*) OR ad=(George Washington*)) OR (og=(Proteomics*) OR oo=(Proteomics*) OR ad=(Proteomics*)) OR ((og=(univ* California*) OR oo=(univ* California*) OR ad=(univ* California*)) AND ad=(Los Angeles)) OR ((og=(univ* California*) OR oo=(univ* California*) OR ad=(univ* California*)) AND ad=(Los Angeles)) OR (og=(univ* Minnesota*) OR oo=(univ* Minnesota*) OR ad=(univ* Minnesota*)))) AND (PY=(1979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70">
        <v>254</v>
      </c>
      <c r="Q70">
        <v>55450</v>
      </c>
    </row>
    <row r="71" spans="1:18">
      <c r="A71">
        <v>35436</v>
      </c>
      <c r="B71" t="s">
        <v>143</v>
      </c>
      <c r="C71" t="s">
        <v>729</v>
      </c>
      <c r="D71" s="10" t="s">
        <v>65</v>
      </c>
      <c r="E71" s="10" t="s">
        <v>755</v>
      </c>
      <c r="F71" s="10" t="s">
        <v>756</v>
      </c>
      <c r="G71" s="10" t="s">
        <v>137</v>
      </c>
      <c r="H71" s="12" t="str">
        <f>TRIM(G71)</f>
        <v>Williams</v>
      </c>
      <c r="I71" s="12" t="str">
        <f t="shared" si="11"/>
        <v>C</v>
      </c>
      <c r="J71" s="12" t="str">
        <f>MID(TRIM(E71),1,1)</f>
        <v>F</v>
      </c>
      <c r="K71" s="12" t="str">
        <f>MID(TRIM(F71),1,1)</f>
        <v>R</v>
      </c>
      <c r="L71" t="str">
        <f>"AU=("&amp;H71&amp;" "&amp;I71&amp;" OR "&amp;H71&amp;" "&amp;J71&amp;" OR "&amp;H71&amp;" "&amp;K71&amp;")"</f>
        <v>AU=(Williams C OR Williams F OR Williams R)</v>
      </c>
      <c r="M71" t="s">
        <v>1132</v>
      </c>
      <c r="N71" t="s">
        <v>1172</v>
      </c>
      <c r="O71" t="str">
        <f t="shared" si="12"/>
        <v>(AU=(Williams C OR Williams F OR Williams R) AND ((og=(Idaho State*) OR oo=(Idaho State*) OR ad=(Idaho State*)) OR (og=(Nebraska Wesleyan*) OR oo=(Nebraska Wesleyan*) OR ad=(Nebraska Wesleyan*)) OR (og=(Rocky Mountain Biological Laboratory*) OR oo=(Rocky Mountain Biological Laboratory*) OR ad=(Rocky Mountain Biological Laboratory*)) OR ((og=(univ* California*) OR oo=(univ* California*) OR ad=(univ* California*)) AND ad=(Riverside)) OR (og=(univ* Miami*) OR oo=(univ* Miami*) OR ad=(univ* Miami*)) OR (og=(univ* Oklahoma*) OR oo=(univ* Oklahoma*) OR ad=(univ* Oklahoma*)) OR ((og=(univ* Wisconsin*) OR oo=(univ* Wisconsin*) OR ad=(univ* Wisconsin*)) AND ad=(Madison)) OR ((og=(univ* Wisconsin*) OR oo=(univ* Wisconsin*) OR ad=(univ* Wisconsin*)) AND ad=(Madison)))) AND (PY=(1985 OR 1986 OR 1987 OR 1988 OR 1989 OR 1990 OR 1991 OR 1992 OR 1993 OR 1994 OR 1995 OR 1996 OR 1997 OR 1998 OR 1999 OR 2000 OR 2001 OR 2002 OR 2003 OR 2004 OR 2005 OR 2006 OR 2007 OR 2008 OR 2009 OR 2010 OR 2011 OR 2012 OR 2013))</v>
      </c>
      <c r="P71">
        <v>257</v>
      </c>
      <c r="Q71">
        <v>35436</v>
      </c>
    </row>
    <row r="72" spans="1:18">
      <c r="A72">
        <v>52432</v>
      </c>
      <c r="B72" t="s">
        <v>359</v>
      </c>
      <c r="C72" t="s">
        <v>359</v>
      </c>
      <c r="D72" s="10" t="s">
        <v>785</v>
      </c>
      <c r="E72" s="10" t="s">
        <v>16</v>
      </c>
      <c r="H72" s="12" t="str">
        <f>TRIM(E72)</f>
        <v>Johnson</v>
      </c>
      <c r="I72" s="12" t="str">
        <f t="shared" si="11"/>
        <v>K</v>
      </c>
      <c r="L72" t="str">
        <f>"AU=("&amp;H72&amp;" "&amp;I72&amp;")"</f>
        <v>AU=(Johnson K)</v>
      </c>
      <c r="M72" t="s">
        <v>1114</v>
      </c>
      <c r="N72" t="s">
        <v>1183</v>
      </c>
      <c r="O72" t="str">
        <f t="shared" si="12"/>
        <v>(AU=(Johnson K) AND ((og=(El Paso Community*) OR oo=(El Paso Community*) OR ad=(El Paso Community*)) OR (og=(Fort Hays State*) OR oo=(Fort Hays State*) OR ad=(Fort Hays State*)) OR (og=(Indio Mountains Research Station*) OR oo=(Indio Mountains Research Station*) OR ad=(Indio Mountains Research Station*)) OR (og=(Texas A&amp;M*) OR oo=(Texas A&amp;M*) OR ad=(Texas A&amp;M*)) OR ((og=(univ* Texas*) OR oo=(univ* Texas*) OR ad=(univ* Texas*)) AND ad=(El Paso)))) AND (PY=(1978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72">
        <v>275</v>
      </c>
      <c r="Q72">
        <v>52432</v>
      </c>
    </row>
    <row r="73" spans="1:18">
      <c r="A73">
        <v>32009</v>
      </c>
      <c r="B73" t="s">
        <v>184</v>
      </c>
      <c r="C73" t="s">
        <v>739</v>
      </c>
      <c r="D73" s="10" t="s">
        <v>9</v>
      </c>
      <c r="E73" s="10" t="s">
        <v>762</v>
      </c>
      <c r="F73" s="10" t="s">
        <v>185</v>
      </c>
      <c r="H73" s="12" t="str">
        <f>TRIM(F73)</f>
        <v>White</v>
      </c>
      <c r="I73" s="12" t="str">
        <f t="shared" si="11"/>
        <v>S</v>
      </c>
      <c r="J73" s="12" t="str">
        <f>MID(TRIM(E73),1,1)</f>
        <v>B</v>
      </c>
      <c r="L73" t="str">
        <f>"AU=("&amp;H73&amp;" "&amp;I73&amp;" OR "&amp;H73&amp;" "&amp;J73&amp;")"</f>
        <v>AU=(White S OR White B)</v>
      </c>
      <c r="M73" t="s">
        <v>1099</v>
      </c>
      <c r="N73" t="s">
        <v>1163</v>
      </c>
      <c r="O73" t="str">
        <f t="shared" si="12"/>
        <v>(AU=(White S OR White B) AND ((og=(Colorado State*) OR oo=(Colorado State*) OR ad=(Colorado State*)) OR (og=(Murray State*) OR oo=(Murray State*) OR ad=(Murray State*)) OR (og=(Ohio State*) OR oo=(Ohio State*) OR ad=(Ohio State*)) OR (og=(univ* Louisville*) OR oo=(univ* Louisville*) OR ad=(univ* Louisville*)) OR (og=(West Virginia*) OR oo=(West Virginia*) OR ad=(West Virginia*)))) AND (PY=(1968 OR 1969 OR 1970 OR 1971 OR 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73">
        <v>283</v>
      </c>
      <c r="Q73">
        <v>32009</v>
      </c>
    </row>
    <row r="74" spans="1:18">
      <c r="A74">
        <v>36238</v>
      </c>
      <c r="B74" t="s">
        <v>29</v>
      </c>
      <c r="C74" t="s">
        <v>29</v>
      </c>
      <c r="D74" s="10" t="s">
        <v>30</v>
      </c>
      <c r="E74" s="10" t="s">
        <v>31</v>
      </c>
      <c r="H74" s="12" t="str">
        <f>TRIM(E74)</f>
        <v>Yang</v>
      </c>
      <c r="I74" s="12" t="str">
        <f t="shared" si="11"/>
        <v>W</v>
      </c>
      <c r="L74" t="str">
        <f>"AU=("&amp;H74&amp;" "&amp;I74&amp;")"</f>
        <v>AU=(Yang W)</v>
      </c>
      <c r="M74" t="s">
        <v>1101</v>
      </c>
      <c r="N74" t="s">
        <v>1154</v>
      </c>
      <c r="O74" t="str">
        <f t="shared" si="12"/>
        <v>(AU=(Yang W) AND ((og=(Bowling Green State*) OR oo=(Bowling Green State*) OR ad=(Bowling Green State*)) OR (og=(Fudan*) OR oo=(Fudan*) OR ad=(Fudan*)) OR (og=(Temple*) OR oo=(Temple*) OR ad=(Temple*)))) AND (PY=(1996 OR 1997 OR 1998 OR 1999 OR 2000 OR 2001 OR 2002 OR 2003 OR 2004 OR 2005 OR 2006 OR 2007 OR 2008 OR 2009 OR 2010 OR 2011 OR 2012 OR 2013))</v>
      </c>
      <c r="P74">
        <v>295</v>
      </c>
      <c r="Q74">
        <v>36238</v>
      </c>
    </row>
    <row r="75" spans="1:18">
      <c r="A75">
        <v>37347</v>
      </c>
      <c r="B75" t="s">
        <v>149</v>
      </c>
      <c r="C75" t="s">
        <v>731</v>
      </c>
      <c r="D75" s="10" t="s">
        <v>5</v>
      </c>
      <c r="E75" s="10" t="s">
        <v>751</v>
      </c>
      <c r="F75" s="10" t="s">
        <v>27</v>
      </c>
      <c r="H75" s="12" t="str">
        <f>TRIM(F75)</f>
        <v>Anderson</v>
      </c>
      <c r="I75" s="12" t="str">
        <f t="shared" si="11"/>
        <v>P</v>
      </c>
      <c r="J75" s="12" t="str">
        <f>MID(TRIM(E75),1,1)</f>
        <v>R</v>
      </c>
      <c r="L75" t="str">
        <f>"AU=("&amp;H75&amp;" "&amp;I75&amp;" OR "&amp;H75&amp;" "&amp;J75&amp;")"</f>
        <v>AU=(Anderson P OR Anderson R)</v>
      </c>
      <c r="M75" t="s">
        <v>1122</v>
      </c>
      <c r="N75" t="s">
        <v>1176</v>
      </c>
      <c r="O75" t="str">
        <f t="shared" si="12"/>
        <v>(AU=(Anderson P OR Anderson R) AND ((og=(Illinois Institute of Technology*) OR oo=(Illinois Institute of Technology*) OR ad=(Illinois Institute of Technology*)) OR (og=(Purdue*) OR oo=(Purdue*) OR ad=(Purdue*)) OR ((og=(univ* California*) OR oo=(univ* California*) OR ad=(univ* California*)) AND ad=(San Diego)) OR (og=(univ* Washington*) OR oo=(univ* Washington*) OR ad=(univ* Washington*)))) AND (PY=(1982 OR 1983 OR 1984 OR 1985 OR 1986 OR 1987 OR 1988 OR 1989 OR 1990 OR 1991 OR 1992 OR 1993 OR 1994 OR 1995 OR 1996 OR 1997 OR 1998 OR 1999 OR 2000 OR 2001 OR 2002 OR 2003 OR 2004 OR 2005 OR 2006 OR 2007 OR 2008 OR 2009 OR 2010 OR 2011 OR 2012 OR 2013))</v>
      </c>
      <c r="P75">
        <v>297</v>
      </c>
      <c r="Q75">
        <v>37347</v>
      </c>
    </row>
    <row r="76" spans="1:18">
      <c r="A76">
        <v>35505</v>
      </c>
      <c r="B76" t="s">
        <v>358</v>
      </c>
      <c r="C76" t="s">
        <v>358</v>
      </c>
      <c r="D76" s="10" t="s">
        <v>151</v>
      </c>
      <c r="E76" s="10" t="s">
        <v>69</v>
      </c>
      <c r="H76" s="12" t="str">
        <f>TRIM(E76)</f>
        <v>Moore</v>
      </c>
      <c r="I76" s="12" t="str">
        <f t="shared" si="11"/>
        <v>C</v>
      </c>
      <c r="L76" t="str">
        <f>"AU=("&amp;H76&amp;" "&amp;I76&amp;")"</f>
        <v>AU=(Moore C)</v>
      </c>
      <c r="M76" t="s">
        <v>1105</v>
      </c>
      <c r="N76" t="s">
        <v>1173</v>
      </c>
      <c r="O76" t="str">
        <f t="shared" si="12"/>
        <v>(AU=(Moore C) AND ((og=(Coll* William and Mary*) OR oo=(Coll* William and Mary*) OR ad=(Coll* William and Mary*)) OR (og=(Illinois State*) OR oo=(Illinois State*) OR ad=(Illinois State*)) OR (og=(Oak Ridge National Laboratories*) OR oo=(Oak Ridge National Laboratories*) OR ad=(Oak Ridge National Laboratories*)) OR (og=(Temple*) OR oo=(Temple*) OR ad=(Temple*)) OR ((og=(univ* Wisconsin*) OR oo=(univ* Wisconsin*) OR ad=(univ* Wisconsin*)) AND ad=(Madison)) OR (og=(Washington*) OR oo=(Washington*) OR ad=(Washington*)))) AND (PY=(1972 OR 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76">
        <v>345</v>
      </c>
      <c r="Q76">
        <v>35505</v>
      </c>
    </row>
    <row r="77" spans="1:18">
      <c r="A77">
        <v>43619</v>
      </c>
      <c r="B77" t="s">
        <v>304</v>
      </c>
      <c r="C77" t="s">
        <v>304</v>
      </c>
      <c r="D77" s="10" t="s">
        <v>305</v>
      </c>
      <c r="E77" s="10" t="s">
        <v>147</v>
      </c>
      <c r="H77" s="12" t="str">
        <f>TRIM(E77)</f>
        <v>Zhang</v>
      </c>
      <c r="I77" s="12" t="str">
        <f t="shared" si="11"/>
        <v>Q</v>
      </c>
      <c r="L77" t="str">
        <f>"AU=("&amp;H77&amp;" "&amp;I77&amp;")"</f>
        <v>AU=(Zhang Q)</v>
      </c>
      <c r="M77" t="s">
        <v>1113</v>
      </c>
      <c r="N77" t="s">
        <v>1168</v>
      </c>
      <c r="O77" t="str">
        <f t="shared" si="12"/>
        <v>(AU=(Zhang Q) AND ((og=(Michigan Technological*) OR oo=(Michigan Technological*) OR ad=(Michigan Technological*)) OR (og=(North-West Institute of Architecture Engineering*) OR oo=(North-West Institute of Architecture Engineering*) OR ad=(North-West Institute of Architecture Engineering*)) OR (og=(Tshing Hua*) OR oo=(Tshing Hua*) OR ad=(Tshing Hua*)) OR (og=(Tsinghua*) OR oo=(Tsinghua*) OR ad=(Tsinghua*)) OR (og=(univ* South Florida*) OR oo=(univ* South Florida*) OR ad=(univ* South Florida*)))) AND (PY=(1995 OR 1996 OR 1997 OR 1998 OR 1999 OR 2000 OR 2001 OR 2002 OR 2003 OR 2004 OR 2005 OR 2006 OR 2007 OR 2008 OR 2009 OR 2010 OR 2011 OR 2012 OR 2013))</v>
      </c>
      <c r="P77">
        <v>396</v>
      </c>
      <c r="Q77">
        <v>43619</v>
      </c>
    </row>
    <row r="78" spans="1:18">
      <c r="A78">
        <v>54076</v>
      </c>
      <c r="B78" t="s">
        <v>343</v>
      </c>
      <c r="C78" t="s">
        <v>747</v>
      </c>
      <c r="D78" s="10" t="s">
        <v>786</v>
      </c>
      <c r="E78" s="10" t="s">
        <v>763</v>
      </c>
      <c r="F78" s="10" t="s">
        <v>763</v>
      </c>
      <c r="G78" s="10" t="s">
        <v>13</v>
      </c>
      <c r="H78" s="12" t="str">
        <f>TRIM(G78)</f>
        <v>Wilson</v>
      </c>
      <c r="I78" s="12" t="str">
        <f t="shared" si="11"/>
        <v>A</v>
      </c>
      <c r="J78" s="12" t="str">
        <f>MID(TRIM(E78),1,1)</f>
        <v>C</v>
      </c>
      <c r="K78" s="12" t="str">
        <f>MID(TRIM(F78),1,1)</f>
        <v>C</v>
      </c>
      <c r="L78" t="str">
        <f>"AU=("&amp;H78&amp;" "&amp;I78&amp;" OR "&amp;H78&amp;" "&amp;J78&amp;" OR "&amp;H78&amp;" "&amp;K78&amp;")"</f>
        <v>AU=(Wilson A OR Wilson C OR Wilson C)</v>
      </c>
      <c r="M78" t="s">
        <v>1131</v>
      </c>
      <c r="N78" t="s">
        <v>1171</v>
      </c>
      <c r="O78" t="str">
        <f t="shared" si="12"/>
        <v>(AU=(Wilson A OR Wilson C OR Wilson C) AND ((og=(Australian National*) OR oo=(Australian National*) OR ad=(Australian National*)) OR (og=(Macquarie*) OR oo=(Macquarie*) OR ad=(Macquarie*)) OR (og=(univ* Arizona*) OR oo=(univ* Arizona*) OR ad=(univ* Arizona*)) OR ((og=(univ* California*) OR oo=(univ* California*) OR ad=(univ* California*)) AND ad=(Davis)) OR (og=(univ* Miami*) OR oo=(univ* Miami*) OR ad=(univ* Miami*)))) AND (PY=(1994 OR 1995 OR 1996 OR 1997 OR 1998 OR 1999 OR 2000 OR 2001 OR 2002 OR 2003 OR 2004 OR 2005 OR 2006 OR 2007 OR 2008 OR 2009 OR 2010 OR 2011 OR 2012 OR 2013))</v>
      </c>
      <c r="P78">
        <v>419</v>
      </c>
      <c r="Q78">
        <v>54076</v>
      </c>
    </row>
    <row r="79" spans="1:18">
      <c r="A79">
        <v>38915</v>
      </c>
      <c r="B79" t="s">
        <v>32</v>
      </c>
      <c r="C79" t="s">
        <v>32</v>
      </c>
      <c r="D79" s="10" t="s">
        <v>33</v>
      </c>
      <c r="E79" s="10" t="s">
        <v>26</v>
      </c>
      <c r="F79" s="10" t="s">
        <v>34</v>
      </c>
      <c r="H79" s="12" t="str">
        <f>TRIM(F79)</f>
        <v>Chen</v>
      </c>
      <c r="I79" s="12" t="str">
        <f t="shared" si="11"/>
        <v>T</v>
      </c>
      <c r="J79" s="12" t="str">
        <f>MID(TRIM(E79),1,1)</f>
        <v>J</v>
      </c>
      <c r="L79" t="str">
        <f>"AU=("&amp;H79&amp;" "&amp;I79&amp;" OR "&amp;H79&amp;" "&amp;J79&amp;")"</f>
        <v>AU=(Chen T OR Chen J)</v>
      </c>
      <c r="M79" t="s">
        <v>1106</v>
      </c>
      <c r="N79" t="s">
        <v>1167</v>
      </c>
      <c r="O79" t="str">
        <f t="shared" si="12"/>
        <v>(AU=(Chen T OR Chen J) AND ((og=(Bowling Green State*) OR oo=(Bowling Green State*) OR ad=(Bowling Green State*)) OR (og=(univ* Sydney*) OR oo=(univ* Sydney*) OR ad=(univ* Sydney*)))) AND (PY=(1992 OR 1993 OR 1994 OR 1995 OR 1996 OR 1997 OR 1998 OR 1999 OR 2000 OR 2001 OR 2002 OR 2003 OR 2004 OR 2005 OR 2006 OR 2007 OR 2008 OR 2009 OR 2010 OR 2011 OR 2012 OR 2013))</v>
      </c>
      <c r="P79">
        <v>441</v>
      </c>
      <c r="Q79">
        <v>38915</v>
      </c>
    </row>
    <row r="80" spans="1:18">
      <c r="A80">
        <v>35698</v>
      </c>
      <c r="B80" t="s">
        <v>334</v>
      </c>
      <c r="C80" t="s">
        <v>735</v>
      </c>
      <c r="D80" s="10" t="s">
        <v>11</v>
      </c>
      <c r="E80" s="10" t="s">
        <v>758</v>
      </c>
      <c r="F80" s="10" t="s">
        <v>44</v>
      </c>
      <c r="H80" s="12" t="str">
        <f>TRIM(F80)</f>
        <v>Adams</v>
      </c>
      <c r="I80" s="12" t="str">
        <f t="shared" si="11"/>
        <v>D</v>
      </c>
      <c r="J80" s="12" t="str">
        <f>MID(TRIM(E80),1,1)</f>
        <v>S</v>
      </c>
      <c r="L80" t="str">
        <f>"AU=("&amp;H80&amp;" "&amp;I80&amp;" OR "&amp;H80&amp;" "&amp;J80&amp;")"</f>
        <v>AU=(Adams D OR Adams S)</v>
      </c>
      <c r="M80" t="s">
        <v>1109</v>
      </c>
      <c r="N80" t="s">
        <v>1174</v>
      </c>
      <c r="O80" t="str">
        <f t="shared" si="12"/>
        <v>(AU=(Adams D OR Adams S) AND ((og=(Oklahoma State*) OR oo=(Oklahoma State*) OR ad=(Oklahoma State*)) OR (og=(Rockefeller*) OR oo=(Rockefeller*) OR ad=(Rockefeller*)) OR (og=(univ* Houston*) OR oo=(univ* Houston*) OR ad=(univ* Houston*)) OR ((og=(univ* Texas*) OR oo=(univ* Texas*) OR ad=(univ* Texas*)) AND ad=(Austin)) OR (og=(Worcester Polytechnic Institute*) OR oo=(Worcester Polytechnic Institute*) OR ad=(Worcester Polytechnic Institute*)))) AND (PY=(1973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80">
        <v>467</v>
      </c>
      <c r="Q80">
        <v>35698</v>
      </c>
    </row>
    <row r="81" spans="1:17">
      <c r="A81">
        <v>53572</v>
      </c>
      <c r="B81" t="s">
        <v>262</v>
      </c>
      <c r="C81" t="s">
        <v>262</v>
      </c>
      <c r="D81" s="10" t="s">
        <v>263</v>
      </c>
      <c r="E81" s="10" t="s">
        <v>34</v>
      </c>
      <c r="H81" s="12" t="str">
        <f>TRIM(E81)</f>
        <v>Chen</v>
      </c>
      <c r="I81" s="12" t="str">
        <f t="shared" si="11"/>
        <v>F</v>
      </c>
      <c r="L81" t="str">
        <f>"AU=("&amp;H81&amp;" "&amp;I81&amp;")"</f>
        <v>AU=(Chen F)</v>
      </c>
      <c r="M81" t="s">
        <v>1107</v>
      </c>
      <c r="N81" t="s">
        <v>1152</v>
      </c>
      <c r="O81" t="str">
        <f t="shared" si="12"/>
        <v>(AU=(Chen F) AND ((og=(Brigham Young*) OR oo=(Brigham Young*) OR ad=(Brigham Young*)) OR (og=(Hangzhou*) OR oo=(Hangzhou*) OR ad=(Hangzhou*)) OR ((og=(univ* Texas*) OR oo=(univ* Texas*) OR ad=(univ* Texas*)) AND ad=(San Antonio)) OR (og=(Yunnan*) OR oo=(Yunnan*) OR ad=(Yunnan*)))) AND (PY=(1993 OR 1994 OR 1995 OR 1996 OR 1997 OR 1998 OR 1999 OR 2000 OR 2001 OR 2002 OR 2003 OR 2004 OR 2005 OR 2006 OR 2007 OR 2008 OR 2009 OR 2010 OR 2011 OR 2012 OR 2013))</v>
      </c>
      <c r="P81">
        <v>494</v>
      </c>
      <c r="Q81">
        <v>53572</v>
      </c>
    </row>
    <row r="82" spans="1:17">
      <c r="A82">
        <v>68739</v>
      </c>
      <c r="B82" t="s">
        <v>213</v>
      </c>
      <c r="C82" t="s">
        <v>213</v>
      </c>
      <c r="D82" s="10" t="s">
        <v>214</v>
      </c>
      <c r="E82" s="10" t="s">
        <v>129</v>
      </c>
      <c r="H82" s="12" t="str">
        <f>TRIM(E82)</f>
        <v>Wang</v>
      </c>
      <c r="I82" s="12" t="str">
        <f t="shared" si="11"/>
        <v>Y</v>
      </c>
      <c r="L82" t="str">
        <f>"AU=("&amp;H82&amp;" "&amp;I82&amp;")"</f>
        <v>AU=(Wang Y)</v>
      </c>
      <c r="M82" t="s">
        <v>1111</v>
      </c>
      <c r="N82" t="s">
        <v>1171</v>
      </c>
      <c r="O82" t="str">
        <f t="shared" si="12"/>
        <v>(AU=(Wang Y) AND ((og=(Creighton*) OR oo=(Creighton*) OR ad=(Creighton*)) OR (og=(Saint Louis*) OR oo=(Saint Louis*) OR ad=(Saint Louis*)))) AND (PY=(1994 OR 1995 OR 1996 OR 1997 OR 1998 OR 1999 OR 2000 OR 2001 OR 2002 OR 2003 OR 2004 OR 2005 OR 2006 OR 2007 OR 2008 OR 2009 OR 2010 OR 2011 OR 2012 OR 2013))</v>
      </c>
      <c r="P82" s="5">
        <v>515</v>
      </c>
      <c r="Q82">
        <v>68739</v>
      </c>
    </row>
    <row r="83" spans="1:17">
      <c r="A83">
        <v>43490</v>
      </c>
      <c r="B83" t="s">
        <v>367</v>
      </c>
      <c r="C83" t="s">
        <v>367</v>
      </c>
      <c r="D83" s="10" t="s">
        <v>781</v>
      </c>
      <c r="E83" s="10" t="s">
        <v>129</v>
      </c>
      <c r="H83" s="12" t="str">
        <f>TRIM(E83)</f>
        <v>Wang</v>
      </c>
      <c r="I83" s="12" t="str">
        <f t="shared" si="11"/>
        <v>G</v>
      </c>
      <c r="L83" t="str">
        <f>"AU=("&amp;H83&amp;" "&amp;I83&amp;")"</f>
        <v>AU=(Wang G)</v>
      </c>
      <c r="M83" t="s">
        <v>1117</v>
      </c>
      <c r="N83" t="s">
        <v>1171</v>
      </c>
      <c r="O83" t="str">
        <f t="shared" si="12"/>
        <v>(AU=(Wang G) AND ((og=(Massachusetts Institute of Technology*) OR oo=(Massachusetts Institute of Technology*) OR ad=(Massachusetts Institute of Technology*)) OR (og=(Princeton*) OR oo=(Princeton*) OR ad=(Princeton*)) OR (og=(Tshing Hua*) OR oo=(Tshing Hua*) OR ad=(Tshing Hua*)) OR (og=(Tsinghua*) OR oo=(Tsinghua*) OR ad=(Tsinghua*)) OR (og=(univ* Connecticut*) OR oo=(univ* Connecticut*) OR ad=(univ* Connecticut*)))) AND (PY=(1994 OR 1995 OR 1996 OR 1997 OR 1998 OR 1999 OR 2000 OR 2001 OR 2002 OR 2003 OR 2004 OR 2005 OR 2006 OR 2007 OR 2008 OR 2009 OR 2010 OR 2011 OR 2012 OR 2013))</v>
      </c>
      <c r="P83" s="5">
        <v>596</v>
      </c>
      <c r="Q83">
        <v>43490</v>
      </c>
    </row>
    <row r="84" spans="1:17">
      <c r="A84">
        <v>36302</v>
      </c>
      <c r="B84" t="s">
        <v>314</v>
      </c>
      <c r="C84" t="s">
        <v>314</v>
      </c>
      <c r="D84" s="10" t="s">
        <v>65</v>
      </c>
      <c r="E84" s="10" t="s">
        <v>111</v>
      </c>
      <c r="H84" s="12" t="str">
        <f>TRIM(E84)</f>
        <v>Brown</v>
      </c>
      <c r="I84" s="12" t="str">
        <f t="shared" si="11"/>
        <v>C</v>
      </c>
      <c r="L84" t="str">
        <f>"AU=("&amp;H84&amp;" "&amp;I84&amp;")"</f>
        <v>AU=(Brown C)</v>
      </c>
      <c r="M84" t="s">
        <v>1115</v>
      </c>
      <c r="N84" t="s">
        <v>1170</v>
      </c>
      <c r="O84" t="str">
        <f t="shared" si="12"/>
        <v>(AU=(Brown C) AND ((og=(Austin*) OR oo=(Austin*) OR ad=(Austin*)) OR (og=(Princeton*) OR oo=(Princeton*) OR ad=(Princeton*)) OR ((og=(univ* Nebraska*) OR oo=(univ* Nebraska*) OR ad=(univ* Nebraska*)) AND ad=(Lincoln)) OR (og=(univ* Tulsa*) OR oo=(univ* Tulsa*) OR ad=(univ* Tulsa*)) OR (og=(univ* Washington*) OR oo=(univ* Washington*) OR ad=(univ* Washington*)) OR (og=(Yale*) OR oo=(Yale*) OR ad=(Yale*)))) AND (PY=(1979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84" s="5">
        <v>635</v>
      </c>
      <c r="Q84">
        <v>36302</v>
      </c>
    </row>
    <row r="85" spans="1:17">
      <c r="A85">
        <v>31481</v>
      </c>
      <c r="B85" t="s">
        <v>330</v>
      </c>
      <c r="C85" t="s">
        <v>330</v>
      </c>
      <c r="D85" s="10" t="s">
        <v>331</v>
      </c>
      <c r="E85" s="10" t="s">
        <v>181</v>
      </c>
      <c r="H85" s="12" t="str">
        <f>TRIM(E85)</f>
        <v>Chang</v>
      </c>
      <c r="I85" s="12" t="str">
        <f t="shared" si="11"/>
        <v>S</v>
      </c>
      <c r="L85" t="str">
        <f>"AU=("&amp;H85&amp;" "&amp;I85&amp;")"</f>
        <v>AU=(Chang S)</v>
      </c>
      <c r="M85" t="s">
        <v>1129</v>
      </c>
      <c r="N85" t="s">
        <v>1152</v>
      </c>
      <c r="O85" t="str">
        <f t="shared" si="12"/>
        <v>(AU=(Chang S) AND ((og=(Cambridge*) OR oo=(Cambridge*) OR ad=(Cambridge*)) OR (og=(Rice*) OR oo=(Rice*) OR ad=(Rice*)) OR ((og=(univ* California*) OR oo=(univ* California*) OR ad=(univ* California*)) AND ad=(Berkeley)) OR (og=(univ* Chicago*) OR oo=(univ* Chicago*) OR ad=(univ* Chicago*)) OR (og=(Wellesley*) OR oo=(Wellesley*) OR ad=(Wellesley*)))) AND (PY=(1993 OR 1994 OR 1995 OR 1996 OR 1997 OR 1998 OR 1999 OR 2000 OR 2001 OR 2002 OR 2003 OR 2004 OR 2005 OR 2006 OR 2007 OR 2008 OR 2009 OR 2010 OR 2011 OR 2012 OR 2013))</v>
      </c>
      <c r="P85" s="5">
        <v>675</v>
      </c>
      <c r="Q85">
        <v>31481</v>
      </c>
    </row>
    <row r="86" spans="1:17">
      <c r="A86">
        <v>39342</v>
      </c>
      <c r="B86" t="s">
        <v>254</v>
      </c>
      <c r="C86" t="s">
        <v>737</v>
      </c>
      <c r="D86" s="10" t="s">
        <v>22</v>
      </c>
      <c r="E86" s="10" t="s">
        <v>374</v>
      </c>
      <c r="F86" s="10" t="s">
        <v>16</v>
      </c>
      <c r="H86" s="12" t="str">
        <f>TRIM(F86)</f>
        <v>Johnson</v>
      </c>
      <c r="I86" s="12" t="str">
        <f t="shared" si="11"/>
        <v>M</v>
      </c>
      <c r="J86" s="12" t="str">
        <f>MID(TRIM(E86),1,1)</f>
        <v>D</v>
      </c>
      <c r="L86" t="str">
        <f>"AU=("&amp;H86&amp;" "&amp;I86&amp;" OR "&amp;H86&amp;" "&amp;J86&amp;")"</f>
        <v>AU=(Johnson M OR Johnson D)</v>
      </c>
      <c r="M86" t="s">
        <v>1119</v>
      </c>
      <c r="N86" t="s">
        <v>1161</v>
      </c>
      <c r="O86" t="str">
        <f t="shared" si="12"/>
        <v>(AU=(Johnson M OR Johnson D) AND ((og=(univ* Alabama*) OR oo=(univ* Alabama*) OR ad=(univ* Alabama*)) OR (og=(Yale*) OR oo=(Yale*) OR ad=(Yale*)) OR (og=(Yeshiva*) OR oo=(Yeshiva*) OR ad=(Yeshiva*)))) AND (PY=(1981 OR 1982 OR 1983 OR 1984 OR 1985 OR 1986 OR 1987 OR 1988 OR 1989 OR 1990 OR 1991 OR 1992 OR 1993 OR 1994 OR 1995 OR 1996 OR 1997 OR 1998 OR 1999 OR 2000 OR 2001 OR 2002 OR 2003 OR 2004 OR 2005 OR 2006 OR 2007 OR 2008 OR 2009 OR 2010 OR 2011 OR 2012 OR 2013))</v>
      </c>
      <c r="P86" s="5">
        <v>765</v>
      </c>
      <c r="Q86">
        <v>39342</v>
      </c>
    </row>
    <row r="87" spans="1:17">
      <c r="A87">
        <v>36101</v>
      </c>
      <c r="B87" t="s">
        <v>362</v>
      </c>
      <c r="C87" t="s">
        <v>362</v>
      </c>
      <c r="D87" s="10" t="s">
        <v>258</v>
      </c>
      <c r="E87" s="10" t="s">
        <v>152</v>
      </c>
      <c r="H87" s="12" t="str">
        <f>TRIM(E87)</f>
        <v>Zhu</v>
      </c>
      <c r="I87" s="12" t="str">
        <f t="shared" si="11"/>
        <v>Y</v>
      </c>
      <c r="L87" t="str">
        <f>"AU=("&amp;H87&amp;" "&amp;I87&amp;")"</f>
        <v>AU=(Zhu Y)</v>
      </c>
      <c r="M87" t="s">
        <v>1124</v>
      </c>
      <c r="N87" t="s">
        <v>1172</v>
      </c>
      <c r="O87" t="str">
        <f t="shared" si="12"/>
        <v>(AU=(Zhu Y) AND ((og=(Cold Spring Harbor Laboratory*) OR oo=(Cold Spring Harbor Laboratory*) OR ad=(Cold Spring Harbor Laboratory*)) OR (og=(East Carolina*) OR oo=(East Carolina*) OR ad=(East Carolina*)) OR (og=(Maruha Co*) OR oo=(Maruha Co*) OR ad=(Maruha Co*)) OR (og=(Tokyo*) OR oo=(Tokyo*) OR ad=(Tokyo*)) OR ((og=(univ* Texas*) OR oo=(univ* Texas*) OR ad=(univ* Texas*)) AND ad=(Austin)) OR (og=(Xiamen*) OR oo=(Xiamen*) OR ad=(Xiamen*)))) AND (PY=(1985 OR 1986 OR 1987 OR 1988 OR 1989 OR 1990 OR 1991 OR 1992 OR 1993 OR 1994 OR 1995 OR 1996 OR 1997 OR 1998 OR 1999 OR 2000 OR 2001 OR 2002 OR 2003 OR 2004 OR 2005 OR 2006 OR 2007 OR 2008 OR 2009 OR 2010 OR 2011 OR 2012 OR 2013))</v>
      </c>
      <c r="P87" s="5">
        <v>910</v>
      </c>
      <c r="Q87">
        <v>36101</v>
      </c>
    </row>
    <row r="88" spans="1:17">
      <c r="A88">
        <v>37577</v>
      </c>
      <c r="B88" t="s">
        <v>187</v>
      </c>
      <c r="C88" t="s">
        <v>740</v>
      </c>
      <c r="D88" s="10" t="s">
        <v>120</v>
      </c>
      <c r="E88" s="10" t="s">
        <v>766</v>
      </c>
      <c r="F88" s="10" t="s">
        <v>763</v>
      </c>
      <c r="G88" s="10" t="s">
        <v>85</v>
      </c>
      <c r="H88" s="12" t="str">
        <f>TRIM(G88)</f>
        <v>Huang</v>
      </c>
      <c r="I88" s="12" t="str">
        <f t="shared" si="11"/>
        <v>F</v>
      </c>
      <c r="J88" s="12" t="str">
        <f>MID(TRIM(E88),1,1)</f>
        <v>Y</v>
      </c>
      <c r="K88" s="12" t="str">
        <f>MID(TRIM(F88),1,1)</f>
        <v>C</v>
      </c>
      <c r="L88" t="str">
        <f>"AU=("&amp;H88&amp;" "&amp;I88&amp;" OR "&amp;H88&amp;" "&amp;J88&amp;" OR "&amp;H88&amp;" "&amp;K88&amp;")"</f>
        <v>AU=(Huang F OR Huang Y OR Huang C)</v>
      </c>
      <c r="M88" t="s">
        <v>1118</v>
      </c>
      <c r="N88" t="s">
        <v>1177</v>
      </c>
      <c r="O88" t="str">
        <f t="shared" si="12"/>
        <v>(AU=(Huang F OR Huang Y OR Huang C) AND ((og=(Massachusetts Institute of Technology*) OR oo=(Massachusetts Institute of Technology*) OR ad=(Massachusetts Institute of Technology*)) OR (og=(National Chung-Hsing*) OR oo=(National Chung-Hsing*) OR ad=(National Chung-Hsing*)) OR (og=(New Mexico Institute of Mining and Technology*) OR oo=(New Mexico Institute of Mining and Technology*) OR ad=(New Mexico Institute of Mining and Technology*)) OR (og=(Vanderbilt*) OR oo=(Vanderbilt*) OR ad=(Vanderbilt*)))) AND (PY=(1986 OR 1987 OR 1988 OR 1989 OR 1990 OR 1991 OR 1992 OR 1993 OR 1994 OR 1995 OR 1996 OR 1997 OR 1998 OR 1999 OR 2000 OR 2001 OR 2002 OR 2003 OR 2004 OR 2005 OR 2006 OR 2007 OR 2008 OR 2009 OR 2010 OR 2011 OR 2012 OR 2013))</v>
      </c>
      <c r="P88" s="5">
        <v>918</v>
      </c>
      <c r="Q88">
        <v>37577</v>
      </c>
    </row>
    <row r="89" spans="1:17">
      <c r="A89">
        <v>41630</v>
      </c>
      <c r="B89" t="s">
        <v>344</v>
      </c>
      <c r="C89" t="s">
        <v>720</v>
      </c>
      <c r="D89" s="10" t="s">
        <v>19</v>
      </c>
      <c r="E89" s="10" t="s">
        <v>757</v>
      </c>
      <c r="F89" s="10" t="s">
        <v>757</v>
      </c>
      <c r="G89" s="10" t="s">
        <v>44</v>
      </c>
      <c r="H89" s="12" t="str">
        <f>TRIM(G89)</f>
        <v>Adams</v>
      </c>
      <c r="I89" s="12" t="str">
        <f t="shared" si="11"/>
        <v>M</v>
      </c>
      <c r="J89" s="12" t="str">
        <f>MID(TRIM(E89),1,1)</f>
        <v>W</v>
      </c>
      <c r="K89" s="12" t="str">
        <f>MID(TRIM(F89),1,1)</f>
        <v>W</v>
      </c>
      <c r="L89" t="str">
        <f>"AU=("&amp;H89&amp;" "&amp;I89&amp;" OR "&amp;H89&amp;" "&amp;J89&amp;" OR "&amp;H89&amp;" "&amp;K89&amp;")"</f>
        <v>AU=(Adams M OR Adams W OR Adams W)</v>
      </c>
      <c r="M89" t="s">
        <v>1120</v>
      </c>
      <c r="N89" t="s">
        <v>1174</v>
      </c>
      <c r="O89" t="str">
        <f t="shared" si="12"/>
        <v>(AU=(Adams M OR Adams W OR Adams W) AND ((og=(Exxon Research &amp; Engineering Co*) OR oo=(Exxon Research &amp; Engineering Co*) OR ad=(Exxon Research &amp; Engineering Co*)) OR (og=(Purdue*) OR oo=(Purdue*) OR ad=(Purdue*)) OR (og=(univ* Georgia*) OR oo=(univ* Georgia*) OR ad=(univ* Georgia*)) OR (og=(univ* London*) OR oo=(univ* London*) OR ad=(univ* London*)))) AND (PY=(1973 OR 1974 OR 1975 OR 1976 OR 1977 OR 1978 OR 1979 OR 1980 OR 1981 OR 1982 OR 1983 OR 1984 OR 1985 OR 1986 OR 1987 OR 1988 OR 1989 OR 1990 OR 1991 OR 1992 OR 1993 OR 1994 OR 1995 OR 1996 OR 1997 OR 1998 OR 1999 OR 2000 OR 2001 OR 2002 OR 2003 OR 2004 OR 2005 OR 2006 OR 2007 OR 2008 OR 2009 OR 2010 OR 2011 OR 2012 OR 2013))</v>
      </c>
      <c r="P89" s="5">
        <v>1062</v>
      </c>
      <c r="Q89">
        <v>41630</v>
      </c>
    </row>
    <row r="90" spans="1:17">
      <c r="A90">
        <v>31202</v>
      </c>
      <c r="B90" t="s">
        <v>345</v>
      </c>
      <c r="C90" t="s">
        <v>743</v>
      </c>
      <c r="D90" s="10" t="s">
        <v>752</v>
      </c>
      <c r="E90" s="10" t="s">
        <v>11</v>
      </c>
      <c r="F90" s="10" t="s">
        <v>23</v>
      </c>
      <c r="H90" s="12" t="str">
        <f>TRIM(F90)</f>
        <v>Smith</v>
      </c>
      <c r="I90" s="12" t="str">
        <f t="shared" si="11"/>
        <v>L</v>
      </c>
      <c r="J90" s="12" t="str">
        <f>MID(TRIM(E90),1,1)</f>
        <v>D</v>
      </c>
      <c r="L90" t="str">
        <f>"AU=("&amp;H90&amp;" "&amp;I90&amp;" OR "&amp;H90&amp;" "&amp;J90&amp;")"</f>
        <v>AU=(Smith L OR Smith D)</v>
      </c>
      <c r="M90" t="s">
        <v>1123</v>
      </c>
      <c r="N90" t="s">
        <v>1156</v>
      </c>
      <c r="O90" t="str">
        <f t="shared" si="12"/>
        <v>(AU=(Smith L OR Smith D) AND ((og=(Smith*) OR oo=(Smith*) OR ad=(Smith*)) OR ((og=(univ* Maryland*) OR oo=(univ* Maryland*) OR ad=(univ* Maryland*)) AND ad=(College Park)) OR (og=(univ* South Carolina*) OR oo=(univ* South Carolina*) OR ad=(univ* South Carolina*)) OR (og=(univ* Virginia*) OR oo=(univ* Virginia*) OR ad=(univ* Virginia*)))) AND (PY=(1984 OR 1985 OR 1986 OR 1987 OR 1988 OR 1989 OR 1990 OR 1991 OR 1992 OR 1993 OR 1994 OR 1995 OR 1996 OR 1997 OR 1998 OR 1999 OR 2000 OR 2001 OR 2002 OR 2003 OR 2004 OR 2005 OR 2006 OR 2007 OR 2008 OR 2009 OR 2010 OR 2011 OR 2012 OR 2013))</v>
      </c>
      <c r="P90" s="5">
        <v>1073</v>
      </c>
      <c r="Q90">
        <v>31202</v>
      </c>
    </row>
    <row r="91" spans="1:17">
      <c r="A91">
        <v>47126</v>
      </c>
      <c r="B91" t="s">
        <v>221</v>
      </c>
      <c r="C91" t="s">
        <v>221</v>
      </c>
      <c r="D91" s="10" t="s">
        <v>222</v>
      </c>
      <c r="E91" s="10" t="s">
        <v>191</v>
      </c>
      <c r="H91" s="12" t="str">
        <f>TRIM(E91)</f>
        <v>Xu</v>
      </c>
      <c r="I91" s="12" t="str">
        <f t="shared" si="11"/>
        <v>D</v>
      </c>
      <c r="L91" t="str">
        <f>"AU=("&amp;H91&amp;" "&amp;I91&amp;")"</f>
        <v>AU=(Xu D)</v>
      </c>
      <c r="M91" t="s">
        <v>1125</v>
      </c>
      <c r="N91" t="s">
        <v>1180</v>
      </c>
      <c r="O91" t="str">
        <f t="shared" si="12"/>
        <v>(AU=(Xu D) AND ((og=(Beijing Polytechnic*) OR oo=(Beijing Polytechnic*) OR ad=(Beijing Polytechnic*)) OR (og=(Chinese Academy of Sciences*) OR oo=(Chinese Academy of Sciences*) OR ad=(Chinese Academy of Sciences*)) OR (og=(Hubei Institute for Nationalities*) OR oo=(Hubei Institute for Nationalities*) OR ad=(Hubei Institute for Nationalities*)) OR (og=(Memorial University of Newfoundland*) OR oo=(Memorial University of Newfoundland*) OR ad=(Memorial University of Newfoundland*)) OR (og=(Purdue*) OR oo=(Purdue*) OR ad=(Purdue*)) OR ((og=(Southern Illinois Univ*) OR oo=(Southern Illinois Univ*) OR ad=(Southern Illinois Univ*)) AND ad=(Carbondale)))) AND (PY=(1998 OR 1999 OR 2000 OR 2001 OR 2002 OR 2003 OR 2004 OR 2005 OR 2006 OR 2007 OR 2008 OR 2009 OR 2010 OR 2011 OR 2012 OR 2013))</v>
      </c>
      <c r="P91" s="5">
        <v>1134</v>
      </c>
      <c r="Q91">
        <v>47126</v>
      </c>
    </row>
    <row r="92" spans="1:17">
      <c r="A92">
        <v>41196</v>
      </c>
      <c r="B92" t="s">
        <v>369</v>
      </c>
      <c r="C92" t="s">
        <v>369</v>
      </c>
      <c r="D92" s="10" t="s">
        <v>779</v>
      </c>
      <c r="E92" s="10" t="s">
        <v>147</v>
      </c>
      <c r="H92" s="12" t="str">
        <f>TRIM(E92)</f>
        <v>Zhang</v>
      </c>
      <c r="I92" s="12" t="str">
        <f t="shared" si="11"/>
        <v>L</v>
      </c>
      <c r="L92" t="str">
        <f>"AU=("&amp;H92&amp;" "&amp;I92&amp;")"</f>
        <v>AU=(Zhang L)</v>
      </c>
      <c r="M92" t="s">
        <v>1137</v>
      </c>
      <c r="N92" t="s">
        <v>1153</v>
      </c>
      <c r="O92" t="str">
        <f t="shared" si="12"/>
        <v>(AU=(Zhang L) AND ((og=(Nanchang*) OR oo=(Nanchang*) OR ad=(Nanchang*)) OR (og=(Nankai*) OR oo=(Nankai*) OR ad=(Nankai*)) OR (og=(univ* Alabama*) OR oo=(univ* Alabama*) OR ad=(univ* Alabama*)) OR ((og=(univ* California*) OR oo=(univ* California*) OR ad=(univ* California*)) AND ad=(Santa Barbara)) OR (og=(univ* Chicago*) OR oo=(univ* Chicago*) OR ad=(univ* Chicago*)) OR (og=(univ* Michigan*) OR oo=(univ* Michigan*) OR ad=(univ* Michigan*)) OR ((og=(univ* Nevada*) OR oo=(univ* Nevada*) OR ad=(univ* Nevada*)) AND ad=(Reno)))) AND (PY=(1997 OR 1998 OR 1999 OR 2000 OR 2001 OR 2002 OR 2003 OR 2004 OR 2005 OR 2006 OR 2007 OR 2008 OR 2009 OR 2010 OR 2011 OR 2012 OR 2013))</v>
      </c>
      <c r="P92" s="5">
        <v>1317</v>
      </c>
      <c r="Q92">
        <v>41196</v>
      </c>
    </row>
    <row r="93" spans="1:17">
      <c r="A93">
        <v>48483</v>
      </c>
      <c r="B93" t="s">
        <v>83</v>
      </c>
      <c r="C93" t="s">
        <v>83</v>
      </c>
      <c r="D93" s="10" t="s">
        <v>84</v>
      </c>
      <c r="E93" s="10" t="s">
        <v>85</v>
      </c>
      <c r="H93" s="12" t="str">
        <f>TRIM(E93)</f>
        <v>Huang</v>
      </c>
      <c r="I93" s="12" t="str">
        <f t="shared" si="11"/>
        <v>L</v>
      </c>
      <c r="J93" s="12" t="s">
        <v>791</v>
      </c>
      <c r="L93" t="str">
        <f>"AU=("&amp;H93&amp;" "&amp;I93&amp;" OR "&amp;H93&amp;" "&amp;J93&amp;")"</f>
        <v>AU=(Huang L OR Huang H)</v>
      </c>
      <c r="M93" t="s">
        <v>1133</v>
      </c>
      <c r="N93" t="s">
        <v>1178</v>
      </c>
      <c r="O93" t="str">
        <f t="shared" si="12"/>
        <v>(AU=(Huang L OR Huang H) AND ((og=(Columbia*) OR oo=(Columbia*) OR ad=(Columbia*)) OR (og=(National Taiwan*) OR oo=(National Taiwan*) OR ad=(National Taiwan*)) OR (og=(Stanford*) OR oo=(Stanford*) OR ad=(Stanford*)))) AND (PY=(2003 OR 2004 OR 2005 OR 2006 OR 2007 OR 2008 OR 2009 OR 2010 OR 2011 OR 2012 OR 2013))</v>
      </c>
      <c r="P93" s="5">
        <v>1490</v>
      </c>
      <c r="Q93">
        <v>48483</v>
      </c>
    </row>
    <row r="94" spans="1:17">
      <c r="A94">
        <v>35783</v>
      </c>
      <c r="B94" t="s">
        <v>195</v>
      </c>
      <c r="C94" t="s">
        <v>195</v>
      </c>
      <c r="D94" s="10" t="s">
        <v>196</v>
      </c>
      <c r="E94" s="10" t="s">
        <v>102</v>
      </c>
      <c r="H94" s="12" t="str">
        <f>TRIM(E94)</f>
        <v>Jiang</v>
      </c>
      <c r="I94" s="12" t="str">
        <f t="shared" si="11"/>
        <v>L</v>
      </c>
      <c r="L94" t="str">
        <f>"AU=("&amp;H94&amp;" "&amp;I94&amp;")"</f>
        <v>AU=(Jiang L)</v>
      </c>
      <c r="M94" t="s">
        <v>1127</v>
      </c>
      <c r="N94" t="s">
        <v>1167</v>
      </c>
      <c r="O94" t="str">
        <f t="shared" si="12"/>
        <v>(AU=(Jiang L) AND ((og=(Chinese Academy of Sciences*) OR oo=(Chinese Academy of Sciences*) OR ad=(Chinese Academy of Sciences*)) OR (og=(Oakland*) OR oo=(Oakland*) OR ad=(Oakland*)))) AND (PY=(1992 OR 1993 OR 1994 OR 1995 OR 1996 OR 1997 OR 1998 OR 1999 OR 2000 OR 2001 OR 2002 OR 2003 OR 2004 OR 2005 OR 2006 OR 2007 OR 2008 OR 2009 OR 2010 OR 2011 OR 2012 OR 2013))</v>
      </c>
      <c r="P94" s="5">
        <v>1591</v>
      </c>
      <c r="Q94">
        <v>35783</v>
      </c>
    </row>
    <row r="95" spans="1:17">
      <c r="A95">
        <v>37054</v>
      </c>
      <c r="B95" t="s">
        <v>364</v>
      </c>
      <c r="C95" t="s">
        <v>364</v>
      </c>
      <c r="D95" s="10" t="s">
        <v>774</v>
      </c>
      <c r="E95" s="10" t="s">
        <v>260</v>
      </c>
      <c r="H95" s="12" t="str">
        <f>TRIM(E95)</f>
        <v>Sun</v>
      </c>
      <c r="I95" s="12" t="str">
        <f t="shared" si="11"/>
        <v>W</v>
      </c>
      <c r="L95" t="str">
        <f>"AU=("&amp;H95&amp;" "&amp;I95&amp;")"</f>
        <v>AU=(Sun W)</v>
      </c>
      <c r="M95" t="s">
        <v>1128</v>
      </c>
      <c r="N95" t="s">
        <v>1169</v>
      </c>
      <c r="O95" t="str">
        <f t="shared" si="12"/>
        <v>(AU=(Sun W) AND ((og=(Chinese Academy of Sciences*) OR oo=(Chinese Academy of Sciences*) OR ad=(Chinese Academy of Sciences*)) OR (og=(North Dakota State*) OR oo=(North Dakota State*) OR ad=(North Dakota State*)) OR (og=(univ* Alabama*) OR oo=(univ* Alabama*) OR ad=(univ* Alabama*)) OR (og=(Wuhan*) OR oo=(Wuhan*) OR ad=(Wuhan*)))) AND (PY=(1989 OR 1990 OR 1991 OR 1992 OR 1993 OR 1994 OR 1995 OR 1996 OR 1997 OR 1998 OR 1999 OR 2000 OR 2001 OR 2002 OR 2003 OR 2004 OR 2005 OR 2006 OR 2007 OR 2008 OR 2009 OR 2010 OR 2011 OR 2012 OR 2013))</v>
      </c>
      <c r="P95" s="5">
        <v>1616</v>
      </c>
      <c r="Q95">
        <v>37054</v>
      </c>
    </row>
    <row r="96" spans="1:17">
      <c r="A96">
        <v>32986</v>
      </c>
      <c r="B96" t="s">
        <v>321</v>
      </c>
      <c r="C96" t="s">
        <v>734</v>
      </c>
      <c r="D96" s="10" t="s">
        <v>57</v>
      </c>
      <c r="E96" s="10" t="s">
        <v>757</v>
      </c>
      <c r="F96" s="10" t="s">
        <v>13</v>
      </c>
      <c r="H96" s="12" t="str">
        <f>TRIM(F96)</f>
        <v>Wilson</v>
      </c>
      <c r="I96" s="12" t="str">
        <f t="shared" si="11"/>
        <v>J</v>
      </c>
      <c r="J96" s="12" t="str">
        <f>MID(TRIM(E96),1,1)</f>
        <v>W</v>
      </c>
      <c r="L96" t="str">
        <f>"AU=("&amp;H96&amp;" "&amp;I96&amp;" OR "&amp;H96&amp;" "&amp;J96&amp;")"</f>
        <v>AU=(Wilson J OR Wilson W)</v>
      </c>
      <c r="M96" t="s">
        <v>1130</v>
      </c>
      <c r="N96" t="s">
        <v>1167</v>
      </c>
      <c r="O96" t="str">
        <f t="shared" si="12"/>
        <v>(AU=(Wilson J OR Wilson W) AND ((og=(Arizona State*) OR oo=(Arizona State*) OR ad=(Arizona State*)) OR (og=(Bates*) OR oo=(Bates*) OR ad=(Bates*)) OR (og=(Columbia*) OR oo=(Columbia*) OR ad=(Columbia*)) OR (og=(Tulane*) OR oo=(Tulane*) OR ad=(Tulane*)) OR (og=(Villanova*) OR oo=(Villanova*) OR ad=(Villanova*)) OR (og=(Yale*) OR oo=(Yale*) OR ad=(Yale*)))) AND (PY=(1992 OR 1993 OR 1994 OR 1995 OR 1996 OR 1997 OR 1998 OR 1999 OR 2000 OR 2001 OR 2002 OR 2003 OR 2004 OR 2005 OR 2006 OR 2007 OR 2008 OR 2009 OR 2010 OR 2011 OR 2012 OR 2013))</v>
      </c>
      <c r="P96" s="5">
        <v>1647</v>
      </c>
      <c r="Q96">
        <v>32986</v>
      </c>
    </row>
    <row r="97" spans="1:17">
      <c r="A97">
        <v>43883</v>
      </c>
      <c r="B97" t="s">
        <v>155</v>
      </c>
      <c r="C97" t="s">
        <v>155</v>
      </c>
      <c r="D97" s="10" t="s">
        <v>156</v>
      </c>
      <c r="E97" s="10" t="s">
        <v>129</v>
      </c>
      <c r="H97" s="12" t="str">
        <f>TRIM(E97)</f>
        <v>Wang</v>
      </c>
      <c r="I97" s="12" t="str">
        <f t="shared" si="11"/>
        <v>K</v>
      </c>
      <c r="L97" t="str">
        <f>"AU=("&amp;H97&amp;" "&amp;I97&amp;")"</f>
        <v>AU=(Wang K)</v>
      </c>
      <c r="M97" t="s">
        <v>1136</v>
      </c>
      <c r="N97" t="s">
        <v>1160</v>
      </c>
      <c r="O97" t="str">
        <f t="shared" si="12"/>
        <v>(AU=(Wang K) AND ((og=(Chinese Academy of Sciences*) OR oo=(Chinese Academy of Sciences*) OR ad=(Chinese Academy of Sciences*)) OR (og=(Hefei University of Technology*) OR oo=(Hefei University of Technology*) OR ad=(Hefei University of Technology*)) OR (og=(Iowa State*) OR oo=(Iowa State*) OR ad=(Iowa State*)) OR (og=(Northwestern*) OR oo=(Northwestern*) OR ad=(Northwestern*)) OR ((og=(univ* California*) OR oo=(univ* California*) OR ad=(univ* California*)) AND ad=(Berkeley)))) AND (PY=(1988 OR 1989 OR 1990 OR 1991 OR 1992 OR 1993 OR 1994 OR 1995 OR 1996 OR 1997 OR 1998 OR 1999 OR 2000 OR 2001 OR 2002 OR 2003 OR 2004 OR 2005 OR 2006 OR 2007 OR 2008 OR 2009 OR 2010 OR 2011 OR 2012 OR 2013))</v>
      </c>
      <c r="P97" s="5">
        <v>1769</v>
      </c>
      <c r="Q97">
        <v>43883</v>
      </c>
    </row>
    <row r="98" spans="1:17">
      <c r="A98">
        <v>49978</v>
      </c>
      <c r="B98" t="s">
        <v>257</v>
      </c>
      <c r="C98" t="s">
        <v>257</v>
      </c>
      <c r="D98" s="10" t="s">
        <v>157</v>
      </c>
      <c r="E98" s="10" t="s">
        <v>50</v>
      </c>
      <c r="H98" s="12" t="str">
        <f>TRIM(E98)</f>
        <v>Li</v>
      </c>
      <c r="I98" s="12" t="str">
        <f t="shared" si="11"/>
        <v>Y</v>
      </c>
      <c r="L98" t="str">
        <f>"AU=("&amp;H98&amp;" "&amp;I98&amp;")"</f>
        <v>AU=(Li Y)</v>
      </c>
      <c r="M98" t="s">
        <v>1134</v>
      </c>
      <c r="N98" t="s">
        <v>1182</v>
      </c>
      <c r="O98" t="str">
        <f t="shared" ref="O98:O129" si="13">"("&amp;L98&amp;" AND ("&amp;M98&amp;"))"&amp;N98</f>
        <v>(AU=(Li Y) AND ((og=(Beijing Institute of Technology*) OR oo=(Beijing Institute of Technology*) OR ad=(Beijing Institute of Technology*)) OR (og=(China Agricultural*) OR oo=(China Agricultural*) OR ad=(China Agricultural*)) OR (og=(National Center for Health Statistics*) OR oo=(National Center for Health Statistics*) OR ad=(National Center for Health Statistics*)) OR (og=(National Institutes of Health*) OR oo=(National Institutes of Health*) OR ad=(National Institutes of Health*)) OR (og=(univ* Maryland*) OR oo=(univ* Maryland*) OR ad=(univ* Maryland*)) OR ((og=(univ* Nebraska*) OR oo=(univ* Nebraska*) OR ad=(univ* Nebraska*)) AND ad=(Lincoln)) OR (og=(univ* Texas*) OR oo=(univ* Texas*) OR ad=(univ* Texas*)) OR ((og=(univ* Texas*) OR oo=(univ* Texas*) OR ad=(univ* Texas*)) AND ad=(Arlington)) OR (og=(WESTAT*) OR oo=(WESTAT*) OR ad=(WESTAT*)))) AND (PY=(2000 OR 2001 OR 2002 OR 2003 OR 2004 OR 2005 OR 2006 OR 2007 OR 2008 OR 2009 OR 2010 OR 2011 OR 2012 OR 2013))</v>
      </c>
      <c r="P98" s="5">
        <v>2352</v>
      </c>
      <c r="Q98">
        <v>49978</v>
      </c>
    </row>
    <row r="99" spans="1:17">
      <c r="A99">
        <v>42516</v>
      </c>
      <c r="B99" t="s">
        <v>363</v>
      </c>
      <c r="C99" t="s">
        <v>363</v>
      </c>
      <c r="D99" s="10" t="s">
        <v>780</v>
      </c>
      <c r="E99" s="10" t="s">
        <v>50</v>
      </c>
      <c r="H99" s="12" t="str">
        <f>TRIM(E99)</f>
        <v>Li</v>
      </c>
      <c r="I99" s="12" t="str">
        <f t="shared" si="11"/>
        <v>H</v>
      </c>
      <c r="L99" t="str">
        <f>"AU=("&amp;H99&amp;" "&amp;I99&amp;")"</f>
        <v>AU=(Li H)</v>
      </c>
      <c r="M99" t="s">
        <v>1135</v>
      </c>
      <c r="N99" t="s">
        <v>1160</v>
      </c>
      <c r="O99" t="str">
        <f t="shared" si="13"/>
        <v>(AU=(Li H) AND ((og=(Brookhaven National Laboratory*) OR oo=(Brookhaven National Laboratory*) OR ad=(Brookhaven National Laboratory*)) OR (og=(Center for Structural Biology*) OR oo=(Center for Structural Biology*) OR ad=(Center for Structural Biology*)) OR (og=(Lawrence Berkeley National Laboratory*) OR oo=(Lawrence Berkeley National Laboratory*) OR ad=(Lawrence Berkeley National Laboratory*)) OR ((og=(State University of New York*) OR oo=(State University of New York*) OR ad=(State University of New York*)) AND ad=(Stony Brook)) OR ((og=(SUNY*) OR oo=(SUNY*) OR ad=(SUNY*)) AND ad=(Stony Brook)) OR (og=(univ* Science &amp; Technology Beijing*) OR oo=(univ* Science &amp; Technology Beijing*) OR ad=(univ* Science &amp; Technology Beijing*)) OR (og=(Wuhan*) OR oo=(Wuhan*) OR ad=(Wuhan*)))) AND (PY=(1988 OR 1989 OR 1990 OR 1991 OR 1992 OR 1993 OR 1994 OR 1995 OR 1996 OR 1997 OR 1998 OR 1999 OR 2000 OR 2001 OR 2002 OR 2003 OR 2004 OR 2005 OR 2006 OR 2007 OR 2008 OR 2009 OR 2010 OR 2011 OR 2012 OR 2013))</v>
      </c>
      <c r="P99" s="5">
        <v>2375</v>
      </c>
      <c r="Q99">
        <v>42516</v>
      </c>
    </row>
    <row r="100" spans="1:17">
      <c r="A100">
        <v>43632</v>
      </c>
      <c r="B100" t="s">
        <v>347</v>
      </c>
      <c r="C100" t="s">
        <v>347</v>
      </c>
      <c r="D100" s="10" t="s">
        <v>782</v>
      </c>
      <c r="E100" s="10" t="s">
        <v>85</v>
      </c>
      <c r="H100" s="12" t="str">
        <f>TRIM(E100)</f>
        <v>Huang</v>
      </c>
      <c r="I100" s="12" t="str">
        <f t="shared" si="11"/>
        <v>C</v>
      </c>
      <c r="J100" s="12" t="s">
        <v>791</v>
      </c>
      <c r="L100" t="str">
        <f>"AU=("&amp;H100&amp;" "&amp;I100&amp;" OR "&amp;H100&amp;" "&amp;J100&amp;")"</f>
        <v>AU=(Huang C OR Huang H)</v>
      </c>
      <c r="M100" t="s">
        <v>1138</v>
      </c>
      <c r="N100" t="s">
        <v>1159</v>
      </c>
      <c r="O100" t="str">
        <f t="shared" si="13"/>
        <v>(AU=(Huang C OR Huang H) AND ((og=(Georgia Institute of Technology*) OR oo=(Georgia Institute of Technology*) OR ad=(Georgia Institute of Technology*)) OR (og=(Johns Hopkins*) OR oo=(Johns Hopkins*) OR ad=(Johns Hopkins*)) OR (og=(National Science Council*) OR oo=(National Science Council*) OR ad=(National Science Council*)) OR (og=(National Taiwan*) OR oo=(National Taiwan*) OR ad=(National Taiwan*)) OR ((og=(univ* California*) OR oo=(univ* California*) OR ad=(univ* California*)) AND ad=(Berkeley)))) AND (PY=(1991 OR 1992 OR 1993 OR 1994 OR 1995 OR 1996 OR 1997 OR 1998 OR 1999 OR 2000 OR 2001 OR 2002 OR 2003 OR 2004 OR 2005 OR 2006 OR 2007 OR 2008 OR 2009 OR 2010 OR 2011 OR 2012 OR 2013))</v>
      </c>
      <c r="P100" s="5">
        <v>4004</v>
      </c>
      <c r="Q100">
        <v>43632</v>
      </c>
    </row>
    <row r="101" spans="1:17">
      <c r="A101">
        <v>90313</v>
      </c>
      <c r="B101" t="s">
        <v>312</v>
      </c>
      <c r="C101" t="s">
        <v>312</v>
      </c>
      <c r="D101" s="10" t="s">
        <v>313</v>
      </c>
      <c r="E101" s="10" t="s">
        <v>51</v>
      </c>
      <c r="H101" s="12" t="str">
        <f>TRIM(E101)</f>
        <v>Kim</v>
      </c>
      <c r="I101" s="12" t="str">
        <f t="shared" si="11"/>
        <v>D</v>
      </c>
      <c r="J101" s="12" t="s">
        <v>758</v>
      </c>
      <c r="L101" t="str">
        <f>"AU=("&amp;H101&amp;" "&amp;I101&amp;" OR "&amp;H101&amp;" "&amp;J101&amp;")"</f>
        <v>AU=(Kim D OR Kim S)</v>
      </c>
      <c r="M101" t="s">
        <v>1139</v>
      </c>
      <c r="N101" t="s">
        <v>1152</v>
      </c>
      <c r="O101" t="str">
        <f t="shared" si="13"/>
        <v>(AU=(Kim D OR Kim S) AND ((og=(Seoul National*) OR oo=(Seoul National*) OR ad=(Seoul National*)) OR (og=(univ* Michigan*) OR oo=(univ* Michigan*) OR ad=(univ* Michigan*)) OR (og=(univ* Toledo*) OR oo=(univ* Toledo*) OR ad=(univ* Toledo*)))) AND (PY=(1993 OR 1994 OR 1995 OR 1996 OR 1997 OR 1998 OR 1999 OR 2000 OR 2001 OR 2002 OR 2003 OR 2004 OR 2005 OR 2006 OR 2007 OR 2008 OR 2009 OR 2010 OR 2011 OR 2012 OR 2013))</v>
      </c>
      <c r="P101" s="5">
        <v>15055</v>
      </c>
      <c r="Q101">
        <v>90313</v>
      </c>
    </row>
    <row r="106" spans="1:17">
      <c r="A106" s="1" t="s">
        <v>1186</v>
      </c>
    </row>
    <row r="107" spans="1:17">
      <c r="L107" s="1"/>
    </row>
    <row r="108" spans="1:17">
      <c r="L108" s="1"/>
    </row>
    <row r="109" spans="1:17">
      <c r="L109" s="1"/>
    </row>
    <row r="110" spans="1:17">
      <c r="L110" s="1"/>
    </row>
    <row r="111" spans="1:17">
      <c r="L111" s="1"/>
    </row>
  </sheetData>
  <sortState ref="A2:R101">
    <sortCondition ref="P2:P101"/>
  </sortState>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election activeCell="G36" sqref="G36"/>
    </sheetView>
  </sheetViews>
  <sheetFormatPr baseColWidth="10" defaultRowHeight="14" x14ac:dyDescent="0"/>
  <cols>
    <col min="1" max="1" width="10.83203125" style="4"/>
  </cols>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FROM_CVs</vt:lpstr>
      <vt:lpstr>FROM_STATA</vt:lpstr>
      <vt:lpstr>INST_DATA</vt:lpstr>
      <vt:lpstr>EGO_INST</vt:lpstr>
      <vt:lpstr>INST_QUERY</vt:lpstr>
      <vt:lpstr>NAME_QUERY</vt:lpstr>
      <vt:lpstr>TOTAL_Q</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Wang, Jian</dc:creator>
  <cp:lastModifiedBy>Kaspars Berzins</cp:lastModifiedBy>
  <dcterms:created xsi:type="dcterms:W3CDTF">2013-02-13T18:03:59Z</dcterms:created>
  <dcterms:modified xsi:type="dcterms:W3CDTF">2013-05-07T19:37:09Z</dcterms:modified>
</cp:coreProperties>
</file>